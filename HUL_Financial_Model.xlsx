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DD378C-FC6F-4601-A16A-36A3DD82AB46}" xr6:coauthVersionLast="47" xr6:coauthVersionMax="47" xr10:uidLastSave="{00000000-0000-0000-0000-000000000000}"/>
  <bookViews>
    <workbookView xWindow="-108" yWindow="-108" windowWidth="23256" windowHeight="12456" tabRatio="500" firstSheet="3" activeTab="6" xr2:uid="{00000000-000D-0000-FFFF-FFFF00000000}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" sheetId="5" r:id="rId5"/>
    <sheet name="Discounted Cash Flow" sheetId="6" r:id="rId6"/>
    <sheet name="Sensitivit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6" l="1"/>
  <c r="B38" i="6"/>
  <c r="F26" i="6"/>
  <c r="E26" i="6"/>
  <c r="D26" i="6"/>
  <c r="C26" i="6"/>
  <c r="B26" i="6"/>
  <c r="F21" i="6"/>
  <c r="E21" i="6"/>
  <c r="D21" i="6"/>
  <c r="C21" i="6"/>
  <c r="B21" i="6"/>
  <c r="D16" i="6"/>
  <c r="D20" i="6" s="1"/>
  <c r="C16" i="6"/>
  <c r="C20" i="6" s="1"/>
  <c r="B26" i="5"/>
  <c r="B24" i="5"/>
  <c r="C23" i="5"/>
  <c r="H18" i="5"/>
  <c r="G18" i="5"/>
  <c r="F18" i="5"/>
  <c r="E18" i="5"/>
  <c r="D18" i="5"/>
  <c r="C18" i="5"/>
  <c r="B18" i="5"/>
  <c r="G15" i="5"/>
  <c r="H14" i="5"/>
  <c r="H15" i="5" s="1"/>
  <c r="G14" i="5"/>
  <c r="F14" i="5"/>
  <c r="F15" i="5" s="1"/>
  <c r="E14" i="5"/>
  <c r="E15" i="5" s="1"/>
  <c r="D14" i="5"/>
  <c r="D15" i="5" s="1"/>
  <c r="C14" i="5"/>
  <c r="C15" i="5" s="1"/>
  <c r="B14" i="5"/>
  <c r="B15" i="5" s="1"/>
  <c r="H7" i="5"/>
  <c r="G7" i="5"/>
  <c r="F7" i="5"/>
  <c r="E7" i="5"/>
  <c r="D7" i="5"/>
  <c r="C7" i="5"/>
  <c r="B7" i="5"/>
  <c r="D15" i="4"/>
  <c r="E15" i="4" s="1"/>
  <c r="F15" i="4" s="1"/>
  <c r="G15" i="4" s="1"/>
  <c r="H15" i="4" s="1"/>
  <c r="C15" i="4"/>
  <c r="D13" i="4"/>
  <c r="C13" i="4"/>
  <c r="B13" i="4"/>
  <c r="C9" i="4"/>
  <c r="D9" i="4" s="1"/>
  <c r="E9" i="4" s="1"/>
  <c r="F9" i="4" s="1"/>
  <c r="G9" i="4" s="1"/>
  <c r="H9" i="4" s="1"/>
  <c r="C8" i="4"/>
  <c r="C9" i="5" s="1"/>
  <c r="B8" i="4"/>
  <c r="B7" i="4"/>
  <c r="B10" i="4" s="1"/>
  <c r="B14" i="3"/>
  <c r="B9" i="3"/>
  <c r="B10" i="3" s="1"/>
  <c r="B8" i="3"/>
  <c r="H7" i="3"/>
  <c r="F16" i="6" s="1"/>
  <c r="F20" i="6" s="1"/>
  <c r="G7" i="3"/>
  <c r="E16" i="6" s="1"/>
  <c r="E20" i="6" s="1"/>
  <c r="F7" i="3"/>
  <c r="E7" i="3"/>
  <c r="D7" i="3"/>
  <c r="B16" i="6" s="1"/>
  <c r="B20" i="6" s="1"/>
  <c r="C7" i="3"/>
  <c r="B7" i="3"/>
  <c r="D6" i="3"/>
  <c r="D14" i="3" s="1"/>
  <c r="C6" i="3"/>
  <c r="C14" i="3" s="1"/>
  <c r="B6" i="3"/>
  <c r="D5" i="3"/>
  <c r="E5" i="3" s="1"/>
  <c r="C5" i="3"/>
  <c r="C7" i="4" s="1"/>
  <c r="C8" i="5" s="1"/>
  <c r="B19" i="2"/>
  <c r="B14" i="4" s="1"/>
  <c r="C17" i="2"/>
  <c r="E13" i="4" l="1"/>
  <c r="E6" i="3"/>
  <c r="E8" i="4"/>
  <c r="E7" i="4"/>
  <c r="C14" i="6"/>
  <c r="F5" i="3"/>
  <c r="B17" i="4"/>
  <c r="B19" i="4"/>
  <c r="B11" i="3"/>
  <c r="B12" i="3" s="1"/>
  <c r="C21" i="2"/>
  <c r="C9" i="3" s="1"/>
  <c r="B14" i="6"/>
  <c r="C19" i="2"/>
  <c r="D8" i="4"/>
  <c r="D9" i="5" s="1"/>
  <c r="C8" i="3"/>
  <c r="D8" i="3"/>
  <c r="C10" i="5"/>
  <c r="B15" i="6"/>
  <c r="B17" i="6" s="1"/>
  <c r="D10" i="5"/>
  <c r="D7" i="4"/>
  <c r="B19" i="5" l="1"/>
  <c r="B20" i="5" s="1"/>
  <c r="B6" i="5"/>
  <c r="B11" i="5" s="1"/>
  <c r="B15" i="3"/>
  <c r="C22" i="6"/>
  <c r="E8" i="5"/>
  <c r="D8" i="5"/>
  <c r="B22" i="6"/>
  <c r="B18" i="6"/>
  <c r="B19" i="6" s="1"/>
  <c r="B23" i="6" s="1"/>
  <c r="C10" i="3"/>
  <c r="F7" i="4"/>
  <c r="F13" i="4"/>
  <c r="F6" i="3"/>
  <c r="F8" i="4"/>
  <c r="F9" i="5" s="1"/>
  <c r="D14" i="6"/>
  <c r="G5" i="3"/>
  <c r="C14" i="4"/>
  <c r="D17" i="2"/>
  <c r="E9" i="5"/>
  <c r="E14" i="3"/>
  <c r="C15" i="6"/>
  <c r="C17" i="6" s="1"/>
  <c r="E8" i="3"/>
  <c r="E10" i="5"/>
  <c r="B27" i="6" l="1"/>
  <c r="F8" i="5"/>
  <c r="D22" i="6"/>
  <c r="C18" i="6"/>
  <c r="C19" i="6" s="1"/>
  <c r="C23" i="6" s="1"/>
  <c r="C27" i="6" s="1"/>
  <c r="F10" i="5"/>
  <c r="C11" i="3"/>
  <c r="C12" i="3" s="1"/>
  <c r="F14" i="3"/>
  <c r="D15" i="6"/>
  <c r="D17" i="6" s="1"/>
  <c r="F8" i="3"/>
  <c r="D21" i="2"/>
  <c r="D9" i="3" s="1"/>
  <c r="D10" i="3" s="1"/>
  <c r="D19" i="2"/>
  <c r="G7" i="4"/>
  <c r="G13" i="4"/>
  <c r="G6" i="3"/>
  <c r="G8" i="4"/>
  <c r="G9" i="5" s="1"/>
  <c r="E14" i="6"/>
  <c r="H5" i="3"/>
  <c r="C15" i="3" l="1"/>
  <c r="C6" i="5"/>
  <c r="C11" i="5" s="1"/>
  <c r="C19" i="5"/>
  <c r="C20" i="5" s="1"/>
  <c r="C16" i="4"/>
  <c r="D14" i="4"/>
  <c r="E17" i="2"/>
  <c r="G10" i="5"/>
  <c r="G8" i="5"/>
  <c r="E22" i="6"/>
  <c r="D12" i="3"/>
  <c r="D11" i="3"/>
  <c r="H7" i="4"/>
  <c r="H13" i="4"/>
  <c r="H6" i="3"/>
  <c r="H8" i="4"/>
  <c r="H9" i="5" s="1"/>
  <c r="F14" i="6"/>
  <c r="G14" i="3"/>
  <c r="E15" i="6"/>
  <c r="E17" i="6" s="1"/>
  <c r="G8" i="3"/>
  <c r="D18" i="6"/>
  <c r="D19" i="6"/>
  <c r="D23" i="6" s="1"/>
  <c r="D27" i="6" s="1"/>
  <c r="D6" i="5" l="1"/>
  <c r="D11" i="5" s="1"/>
  <c r="D22" i="5" s="1"/>
  <c r="D15" i="3"/>
  <c r="D19" i="5"/>
  <c r="D20" i="5" s="1"/>
  <c r="E19" i="2"/>
  <c r="F22" i="6"/>
  <c r="H8" i="5"/>
  <c r="E19" i="6"/>
  <c r="E23" i="6" s="1"/>
  <c r="E27" i="6" s="1"/>
  <c r="E18" i="6"/>
  <c r="D16" i="4"/>
  <c r="C17" i="4"/>
  <c r="C22" i="5"/>
  <c r="C24" i="5" s="1"/>
  <c r="H10" i="5"/>
  <c r="D17" i="4"/>
  <c r="H14" i="3"/>
  <c r="F15" i="6"/>
  <c r="F17" i="6" s="1"/>
  <c r="H8" i="3"/>
  <c r="E14" i="4" l="1"/>
  <c r="F17" i="2"/>
  <c r="E21" i="2"/>
  <c r="E9" i="3" s="1"/>
  <c r="E10" i="3" s="1"/>
  <c r="D23" i="5"/>
  <c r="D24" i="5" s="1"/>
  <c r="C6" i="4"/>
  <c r="F18" i="6"/>
  <c r="F19" i="6" s="1"/>
  <c r="F23" i="6" s="1"/>
  <c r="B30" i="6" l="1"/>
  <c r="B31" i="6" s="1"/>
  <c r="B34" i="6" s="1"/>
  <c r="F27" i="6"/>
  <c r="B33" i="6" s="1"/>
  <c r="B35" i="6" s="1"/>
  <c r="C10" i="4"/>
  <c r="C19" i="4" s="1"/>
  <c r="B10" i="6"/>
  <c r="C26" i="5"/>
  <c r="E23" i="5"/>
  <c r="D6" i="4"/>
  <c r="D10" i="4" s="1"/>
  <c r="D19" i="4" s="1"/>
  <c r="F21" i="2"/>
  <c r="F9" i="3" s="1"/>
  <c r="F10" i="3" s="1"/>
  <c r="F19" i="2"/>
  <c r="E11" i="3"/>
  <c r="E12" i="3"/>
  <c r="F11" i="3" l="1"/>
  <c r="F12" i="3"/>
  <c r="D26" i="5"/>
  <c r="E6" i="5"/>
  <c r="E11" i="5" s="1"/>
  <c r="E15" i="3"/>
  <c r="E19" i="5"/>
  <c r="E20" i="5" s="1"/>
  <c r="E16" i="4"/>
  <c r="G17" i="2"/>
  <c r="F14" i="4"/>
  <c r="B36" i="6"/>
  <c r="G9" i="7"/>
  <c r="D8" i="7"/>
  <c r="E6" i="7"/>
  <c r="E9" i="7"/>
  <c r="F7" i="7"/>
  <c r="C7" i="7"/>
  <c r="C9" i="7"/>
  <c r="G8" i="7"/>
  <c r="F5" i="7"/>
  <c r="E8" i="7"/>
  <c r="F6" i="7"/>
  <c r="C5" i="7"/>
  <c r="C8" i="7"/>
  <c r="C6" i="7"/>
  <c r="G6" i="7"/>
  <c r="F8" i="7"/>
  <c r="F9" i="7"/>
  <c r="G7" i="7"/>
  <c r="D6" i="7"/>
  <c r="E7" i="7"/>
  <c r="G5" i="7"/>
  <c r="D7" i="7"/>
  <c r="D9" i="7"/>
  <c r="E5" i="7"/>
  <c r="D5" i="7"/>
  <c r="B37" i="6"/>
  <c r="B40" i="6" s="1"/>
  <c r="B42" i="6" s="1"/>
  <c r="G19" i="2" l="1"/>
  <c r="G21" i="2"/>
  <c r="G9" i="3" s="1"/>
  <c r="G10" i="3" s="1"/>
  <c r="F16" i="4"/>
  <c r="E17" i="4"/>
  <c r="E22" i="5"/>
  <c r="E24" i="5" s="1"/>
  <c r="F6" i="5"/>
  <c r="F11" i="5" s="1"/>
  <c r="F22" i="5" s="1"/>
  <c r="F15" i="3"/>
  <c r="F19" i="5"/>
  <c r="F20" i="5" s="1"/>
  <c r="F23" i="5" l="1"/>
  <c r="F24" i="5" s="1"/>
  <c r="E6" i="4"/>
  <c r="E10" i="4" s="1"/>
  <c r="E19" i="4" s="1"/>
  <c r="E26" i="5"/>
  <c r="G11" i="3"/>
  <c r="G12" i="3" s="1"/>
  <c r="G14" i="4"/>
  <c r="H17" i="2"/>
  <c r="F17" i="4"/>
  <c r="G19" i="5" l="1"/>
  <c r="G20" i="5" s="1"/>
  <c r="G6" i="5"/>
  <c r="G11" i="5" s="1"/>
  <c r="G22" i="5" s="1"/>
  <c r="G15" i="3"/>
  <c r="G16" i="4"/>
  <c r="G17" i="4"/>
  <c r="H19" i="2"/>
  <c r="H14" i="4" s="1"/>
  <c r="H21" i="2"/>
  <c r="H9" i="3" s="1"/>
  <c r="H10" i="3" s="1"/>
  <c r="G23" i="5"/>
  <c r="G24" i="5" s="1"/>
  <c r="F6" i="4"/>
  <c r="F10" i="4" s="1"/>
  <c r="F19" i="4" s="1"/>
  <c r="H11" i="3" l="1"/>
  <c r="H12" i="3"/>
  <c r="H16" i="4"/>
  <c r="F26" i="5"/>
  <c r="G6" i="4"/>
  <c r="G10" i="4" s="1"/>
  <c r="G19" i="4" s="1"/>
  <c r="H23" i="5"/>
  <c r="H17" i="4"/>
  <c r="G26" i="5" l="1"/>
  <c r="H19" i="5"/>
  <c r="H20" i="5" s="1"/>
  <c r="H6" i="5"/>
  <c r="H11" i="5" s="1"/>
  <c r="H22" i="5" s="1"/>
  <c r="H24" i="5" s="1"/>
  <c r="H15" i="3"/>
  <c r="H6" i="4" l="1"/>
  <c r="H10" i="4" s="1"/>
  <c r="H19" i="4" s="1"/>
  <c r="H26" i="5" l="1"/>
</calcChain>
</file>

<file path=xl/sharedStrings.xml><?xml version="1.0" encoding="utf-8"?>
<sst xmlns="http://schemas.openxmlformats.org/spreadsheetml/2006/main" count="180" uniqueCount="139">
  <si>
    <t>HINDUSTAN UNILEVER LIMITED</t>
  </si>
  <si>
    <t>NSE: HINDUNILVR  |  Sector: FMCG — Personal &amp; Household Products  |  Index: Nifty 50</t>
  </si>
  <si>
    <t>Model Contents</t>
  </si>
  <si>
    <t>1. Assumptions</t>
  </si>
  <si>
    <t>2. Income Statement</t>
  </si>
  <si>
    <t>3. Balance Sheet</t>
  </si>
  <si>
    <t>4. Cash Flow Statement</t>
  </si>
  <si>
    <t>5. Discounted Cash Flow (DCF)</t>
  </si>
  <si>
    <t>6. Sensitivity Analysis</t>
  </si>
  <si>
    <t>Note: Historical figures (FY2023, FY2024) are approximate public-domain figures (Screener / Annual Report) for illustrative/practice purposes. Verify against the latest Annual Report before relying on this for submission.</t>
  </si>
  <si>
    <t>ASSUMPTIONS</t>
  </si>
  <si>
    <t>Line Item</t>
  </si>
  <si>
    <t>FY2023</t>
  </si>
  <si>
    <t>FY2024</t>
  </si>
  <si>
    <t>FY2025E</t>
  </si>
  <si>
    <t>FY2026E</t>
  </si>
  <si>
    <t>FY2027E</t>
  </si>
  <si>
    <t>FY2028E</t>
  </si>
  <si>
    <t>FY2029E</t>
  </si>
  <si>
    <t>Source / Note</t>
  </si>
  <si>
    <t>Revenue Growth %</t>
  </si>
  <si>
    <t>FY24 actual ~4.4%; FY25E-29E assumed step-up then maturity</t>
  </si>
  <si>
    <t>EBITDA Margin %</t>
  </si>
  <si>
    <t>Source: Screener/Annual Report (approx). Verify exact figures.</t>
  </si>
  <si>
    <t>Tax Rate %</t>
  </si>
  <si>
    <t>Effective tax rate, post new corporate tax regime (~25.2%)</t>
  </si>
  <si>
    <t>D&amp;A (₹ Cr)</t>
  </si>
  <si>
    <t>Tracks capex growth ~5-6%/yr</t>
  </si>
  <si>
    <t>Capex (₹ Cr)</t>
  </si>
  <si>
    <t>~2% of revenue, asset-light FMCG model</t>
  </si>
  <si>
    <t>Working Capital Assumptions (FMCG typically has negative working capital)</t>
  </si>
  <si>
    <t>DSO (Debtor Days)</t>
  </si>
  <si>
    <t>DIO (Inventory Days)</t>
  </si>
  <si>
    <t>DPO (Payable Days)</t>
  </si>
  <si>
    <t>COGS proxy used for Inventory/Payable days = Revenue x (1-EBITDA Margin)</t>
  </si>
  <si>
    <t>Capital Structure &amp; Debt Schedule</t>
  </si>
  <si>
    <t>Opening Debt (₹ Cr)</t>
  </si>
  <si>
    <t>Change in Debt (₹ Cr)</t>
  </si>
  <si>
    <t>Closing Debt (₹ Cr)</t>
  </si>
  <si>
    <t>Cost of Debt %</t>
  </si>
  <si>
    <t>Interest Expense (₹ Cr)</t>
  </si>
  <si>
    <t>Formula: Average(Opening,Closing Debt) x Cost of Debt. FY23 hardcoded actual.</t>
  </si>
  <si>
    <t>Dividend Policy</t>
  </si>
  <si>
    <t>Dividend Payout %</t>
  </si>
  <si>
    <t>HUL historically pays out ~90-100% of net income</t>
  </si>
  <si>
    <t>INCOME STATEMENT</t>
  </si>
  <si>
    <t>HINDUSTAN UNILEVER LIMITED  (₹ in Crores)</t>
  </si>
  <si>
    <t>Formula / Source</t>
  </si>
  <si>
    <t>Revenue</t>
  </si>
  <si>
    <t>FY2023 actual (anchor year) — Source: Screener/Annual Report</t>
  </si>
  <si>
    <t>EBITDA</t>
  </si>
  <si>
    <t>Less: D&amp;A</t>
  </si>
  <si>
    <t>EBIT</t>
  </si>
  <si>
    <t>Less: Interest Expense</t>
  </si>
  <si>
    <t>EBT (Profit Before Tax)</t>
  </si>
  <si>
    <t>Less: Tax</t>
  </si>
  <si>
    <t>Net Income</t>
  </si>
  <si>
    <t>Check: EBITDA Margin %</t>
  </si>
  <si>
    <t>Check: Net Margin %</t>
  </si>
  <si>
    <t>BALANCE SHEET</t>
  </si>
  <si>
    <t>ASSETS</t>
  </si>
  <si>
    <t>Cash &amp; Cash Equivalents</t>
  </si>
  <si>
    <t>FY2023 anchor (hardcoded). FY24 onward links to Cash Flow Statement closing cash.</t>
  </si>
  <si>
    <t>Accounts Receivable</t>
  </si>
  <si>
    <t>Inventory</t>
  </si>
  <si>
    <t>Fixed Assets (Net)</t>
  </si>
  <si>
    <t>Total Assets</t>
  </si>
  <si>
    <t>LIABILITIES &amp; EQUITY</t>
  </si>
  <si>
    <t>Accounts Payable</t>
  </si>
  <si>
    <t>Borrowings</t>
  </si>
  <si>
    <t>Share Capital</t>
  </si>
  <si>
    <t>Retained Earnings</t>
  </si>
  <si>
    <t>Total Liabilities &amp; Equity</t>
  </si>
  <si>
    <t>Check: Assets - (Liab + Equity)</t>
  </si>
  <si>
    <t>Must equal zero in every column. If not, trace the break via Cash Flow Statement.</t>
  </si>
  <si>
    <t>CASH FLOW STATEMENT</t>
  </si>
  <si>
    <t>Operating Activities</t>
  </si>
  <si>
    <t>Add: D&amp;A</t>
  </si>
  <si>
    <t>(Increase)/Decrease in Receivables</t>
  </si>
  <si>
    <t>(Increase)/Decrease in Inventory</t>
  </si>
  <si>
    <t>Increase/(Decrease) in Payables</t>
  </si>
  <si>
    <t>Cash Flow from Operations (CFO)</t>
  </si>
  <si>
    <t>Investing Activities</t>
  </si>
  <si>
    <t>Capex</t>
  </si>
  <si>
    <t>Cash Flow from Investing (CFI)</t>
  </si>
  <si>
    <t>Financing Activities</t>
  </si>
  <si>
    <t>Change in Borrowings</t>
  </si>
  <si>
    <t>Dividends Paid</t>
  </si>
  <si>
    <t>Cash Flow from Financing (CFF)</t>
  </si>
  <si>
    <t>Net Change in Cash</t>
  </si>
  <si>
    <t>n/a (anchor year)</t>
  </si>
  <si>
    <t>Opening Cash</t>
  </si>
  <si>
    <t>Closing Cash</t>
  </si>
  <si>
    <t>Check: Closing Cash - Balance Sheet Cash</t>
  </si>
  <si>
    <t>Must equal zero in every column.</t>
  </si>
  <si>
    <t>DISCOUNTED CASH FLOW (DCF)</t>
  </si>
  <si>
    <t>HINDUSTAN UNILEVER LIMITED — FCFF Approach, 5-Year Explicit Forecast</t>
  </si>
  <si>
    <t>DCF Assumptions</t>
  </si>
  <si>
    <t>WACC (Discount Rate)</t>
  </si>
  <si>
    <t>Cost of equity (CAPM, Rf=7%, ERP=6%, beta=0.6) blended with low-cost debt; HUL is largely equity-funded</t>
  </si>
  <si>
    <t>Terminal Growth Rate</t>
  </si>
  <si>
    <t>Long-run nominal GDP-linked growth assumption for India FMCG</t>
  </si>
  <si>
    <t>Projection Years</t>
  </si>
  <si>
    <t>Shares Outstanding (Cr)</t>
  </si>
  <si>
    <t>Current Market Price (₹)</t>
  </si>
  <si>
    <t>Verify against live market price before using</t>
  </si>
  <si>
    <t>Net Debt / (Net Cash) (₹ Cr)</t>
  </si>
  <si>
    <t>Formula: Latest Borrowings - Latest Cash (FY2024). Negative = net cash position.</t>
  </si>
  <si>
    <t>Free Cash Flow to Firm (FCFF) Build</t>
  </si>
  <si>
    <t>Driver</t>
  </si>
  <si>
    <t>Formula</t>
  </si>
  <si>
    <t>Less: Tax on EBIT (unlevered)</t>
  </si>
  <si>
    <t>NOPAT (EBIT - Tax on EBIT)</t>
  </si>
  <si>
    <t>Plus: D&amp;A</t>
  </si>
  <si>
    <t>Less: Capex</t>
  </si>
  <si>
    <t>Less: Increase in Net Working Capital</t>
  </si>
  <si>
    <t>Formula: -(Change in [AR+Inventory-AP]); NWC increase is a cash outflow</t>
  </si>
  <si>
    <t>Free Cash Flow to Firm (FCFF)</t>
  </si>
  <si>
    <t>Formula: NOPAT + D&amp;A - Capex - Increase in NWC</t>
  </si>
  <si>
    <t>Year Number</t>
  </si>
  <si>
    <t>Discount Factor</t>
  </si>
  <si>
    <t>Discounted FCFF</t>
  </si>
  <si>
    <t>Terminal Value &amp; Valuation</t>
  </si>
  <si>
    <t>Terminal Value (at end of Year 5)</t>
  </si>
  <si>
    <t>Formula: FCFF Year5 x (1+g) / (WACC - g) — Gordon Growth</t>
  </si>
  <si>
    <t>Discounted Terminal Value</t>
  </si>
  <si>
    <t>Sum of Discounted FCFF (Yr 1-5)</t>
  </si>
  <si>
    <t>Plus: Discounted Terminal Value</t>
  </si>
  <si>
    <t>Enterprise Value</t>
  </si>
  <si>
    <t>Less: Net Debt / Add: Net Cash</t>
  </si>
  <si>
    <t>Equity Value</t>
  </si>
  <si>
    <t>Intrinsic Value per Share (₹)</t>
  </si>
  <si>
    <t>Upside / (Downside)</t>
  </si>
  <si>
    <t>SENSITIVITY ANALYSIS</t>
  </si>
  <si>
    <t>Intrinsic Value per Share (₹) — WACC vs Terminal Growth Rate</t>
  </si>
  <si>
    <t>WACC →</t>
  </si>
  <si>
    <t>Terminal Growth ↓</t>
  </si>
  <si>
    <t>Each cell independently recomputes Enterprise Value, Equity Value, and price per share at that WACC/terminal-growth pair, using the same FCFF projections as the DCF tab. Highlighted cell = base case.</t>
  </si>
  <si>
    <t>HUL Valuation — DCF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</si>
</sst>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\(0.0%\);\-"/>
    <numFmt numFmtId="165" formatCode="#,##0;\(#,##0\);\-"/>
    <numFmt numFmtId="166" formatCode="0.000"/>
    <numFmt numFmtId="167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i/>
      <sz val="10"/>
      <color rgb="FF808080"/>
      <name val="Arial"/>
      <charset val="1"/>
    </font>
    <font>
      <b/>
      <sz val="11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C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164" fontId="7" fillId="0" borderId="0" xfId="0" applyNumberFormat="1" applyFont="1"/>
    <xf numFmtId="0" fontId="5" fillId="0" borderId="0" xfId="0" applyFont="1"/>
    <xf numFmtId="165" fontId="7" fillId="0" borderId="0" xfId="0" applyNumberFormat="1" applyFont="1"/>
    <xf numFmtId="0" fontId="3" fillId="3" borderId="0" xfId="0" applyFont="1" applyFill="1"/>
    <xf numFmtId="0" fontId="0" fillId="3" borderId="0" xfId="0" applyFill="1"/>
    <xf numFmtId="1" fontId="7" fillId="0" borderId="0" xfId="0" applyNumberFormat="1" applyFont="1"/>
    <xf numFmtId="165" fontId="8" fillId="0" borderId="0" xfId="0" applyNumberFormat="1" applyFont="1"/>
    <xf numFmtId="165" fontId="4" fillId="0" borderId="0" xfId="0" applyNumberFormat="1" applyFont="1"/>
    <xf numFmtId="0" fontId="9" fillId="0" borderId="0" xfId="0" applyFont="1"/>
    <xf numFmtId="164" fontId="4" fillId="0" borderId="0" xfId="0" applyNumberFormat="1" applyFont="1"/>
    <xf numFmtId="165" fontId="10" fillId="0" borderId="0" xfId="0" applyNumberFormat="1" applyFont="1"/>
    <xf numFmtId="4" fontId="7" fillId="0" borderId="0" xfId="0" applyNumberFormat="1" applyFont="1"/>
    <xf numFmtId="165" fontId="9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4" fontId="11" fillId="4" borderId="0" xfId="0" applyNumberFormat="1" applyFont="1" applyFill="1"/>
    <xf numFmtId="4" fontId="4" fillId="0" borderId="0" xfId="0" applyNumberFormat="1" applyFont="1"/>
    <xf numFmtId="164" fontId="11" fillId="4" borderId="0" xfId="0" applyNumberFormat="1" applyFont="1" applyFill="1"/>
    <xf numFmtId="167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/>
    <xf numFmtId="3" fontId="4" fillId="0" borderId="0" xfId="0" applyNumberFormat="1" applyFont="1"/>
    <xf numFmtId="3" fontId="9" fillId="4" borderId="0" xfId="0" applyNumberFormat="1" applyFont="1" applyFill="1"/>
    <xf numFmtId="0" fontId="4" fillId="5" borderId="1" xfId="0" applyFont="1" applyFill="1" applyBorder="1"/>
    <xf numFmtId="0" fontId="0" fillId="5" borderId="1" xfId="0" applyFill="1" applyBorder="1"/>
    <xf numFmtId="164" fontId="7" fillId="5" borderId="1" xfId="0" applyNumberFormat="1" applyFont="1" applyFill="1" applyBorder="1"/>
    <xf numFmtId="0" fontId="5" fillId="5" borderId="1" xfId="0" applyFont="1" applyFill="1" applyBorder="1"/>
    <xf numFmtId="165" fontId="7" fillId="5" borderId="1" xfId="0" applyNumberFormat="1" applyFont="1" applyFill="1" applyBorder="1"/>
    <xf numFmtId="0" fontId="3" fillId="6" borderId="1" xfId="0" applyFont="1" applyFill="1" applyBorder="1"/>
    <xf numFmtId="0" fontId="0" fillId="6" borderId="1" xfId="0" applyFill="1" applyBorder="1"/>
    <xf numFmtId="1" fontId="7" fillId="5" borderId="1" xfId="0" applyNumberFormat="1" applyFont="1" applyFill="1" applyBorder="1"/>
    <xf numFmtId="165" fontId="8" fillId="5" borderId="1" xfId="0" applyNumberFormat="1" applyFont="1" applyFill="1" applyBorder="1"/>
    <xf numFmtId="165" fontId="4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Normal="100" workbookViewId="0">
      <selection activeCell="D7" sqref="D7"/>
    </sheetView>
  </sheetViews>
  <sheetFormatPr defaultColWidth="8.6640625" defaultRowHeight="14.4" x14ac:dyDescent="0.3"/>
  <cols>
    <col min="1" max="1" width="3" customWidth="1"/>
    <col min="2" max="8" width="22" customWidth="1"/>
    <col min="9" max="9" width="30" customWidth="1"/>
  </cols>
  <sheetData>
    <row r="1" spans="1:8" ht="17.25" customHeight="1" x14ac:dyDescent="0.3">
      <c r="A1" s="2" t="s">
        <v>138</v>
      </c>
    </row>
    <row r="2" spans="1:8" ht="15" customHeight="1" x14ac:dyDescent="0.3">
      <c r="A2" s="3" t="s">
        <v>0</v>
      </c>
    </row>
    <row r="4" spans="1:8" ht="15" customHeight="1" x14ac:dyDescent="0.3">
      <c r="A4" s="3" t="s">
        <v>1</v>
      </c>
    </row>
    <row r="6" spans="1:8" ht="15" customHeight="1" x14ac:dyDescent="0.3">
      <c r="A6" s="4" t="s">
        <v>2</v>
      </c>
    </row>
    <row r="7" spans="1:8" ht="15" customHeight="1" x14ac:dyDescent="0.3">
      <c r="A7" s="5" t="s">
        <v>3</v>
      </c>
    </row>
    <row r="8" spans="1:8" ht="15" customHeight="1" x14ac:dyDescent="0.3">
      <c r="A8" s="5" t="s">
        <v>4</v>
      </c>
    </row>
    <row r="9" spans="1:8" ht="15" customHeight="1" x14ac:dyDescent="0.3">
      <c r="A9" s="5" t="s">
        <v>5</v>
      </c>
    </row>
    <row r="10" spans="1:8" ht="15" customHeight="1" x14ac:dyDescent="0.3">
      <c r="A10" s="5" t="s">
        <v>6</v>
      </c>
    </row>
    <row r="11" spans="1:8" ht="15" customHeight="1" x14ac:dyDescent="0.3">
      <c r="A11" s="5" t="s">
        <v>7</v>
      </c>
    </row>
    <row r="12" spans="1:8" ht="15" customHeight="1" x14ac:dyDescent="0.3">
      <c r="A12" s="5" t="s">
        <v>8</v>
      </c>
    </row>
    <row r="15" spans="1:8" ht="49.5" customHeight="1" x14ac:dyDescent="0.3">
      <c r="A15" s="1" t="s">
        <v>9</v>
      </c>
      <c r="B15" s="1"/>
      <c r="C15" s="1"/>
      <c r="D15" s="1"/>
      <c r="E15" s="1"/>
      <c r="F15" s="1"/>
      <c r="G15" s="1"/>
      <c r="H15" s="1"/>
    </row>
    <row r="16" spans="1:8" ht="15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15" customHeight="1" x14ac:dyDescent="0.3">
      <c r="A17" s="1"/>
      <c r="B17" s="1"/>
      <c r="C17" s="1"/>
      <c r="D17" s="1"/>
      <c r="E17" s="1"/>
      <c r="F17" s="1"/>
      <c r="G17" s="1"/>
      <c r="H17" s="1"/>
    </row>
  </sheetData>
  <mergeCells count="1">
    <mergeCell ref="A15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defaultColWidth="8.6640625" defaultRowHeight="14.4" x14ac:dyDescent="0.3"/>
  <cols>
    <col min="1" max="1" width="34" customWidth="1"/>
    <col min="2" max="8" width="13" customWidth="1"/>
    <col min="9" max="9" width="45" customWidth="1"/>
  </cols>
  <sheetData>
    <row r="1" spans="1:9" ht="17.25" customHeight="1" x14ac:dyDescent="0.3">
      <c r="A1" s="2" t="s">
        <v>10</v>
      </c>
    </row>
    <row r="2" spans="1:9" ht="15" customHeight="1" x14ac:dyDescent="0.3">
      <c r="A2" s="3"/>
    </row>
    <row r="4" spans="1:9" ht="15" customHeight="1" x14ac:dyDescent="0.3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6" t="s">
        <v>19</v>
      </c>
    </row>
    <row r="5" spans="1:9" ht="15" customHeight="1" x14ac:dyDescent="0.3">
      <c r="A5" s="30" t="s">
        <v>20</v>
      </c>
      <c r="B5" s="31"/>
      <c r="C5" s="32">
        <v>4.3700000000000003E-2</v>
      </c>
      <c r="D5" s="32">
        <v>0.08</v>
      </c>
      <c r="E5" s="32">
        <v>0.09</v>
      </c>
      <c r="F5" s="32">
        <v>0.09</v>
      </c>
      <c r="G5" s="32">
        <v>8.5000000000000006E-2</v>
      </c>
      <c r="H5" s="32">
        <v>0.08</v>
      </c>
      <c r="I5" s="33" t="s">
        <v>21</v>
      </c>
    </row>
    <row r="6" spans="1:9" ht="15" customHeight="1" x14ac:dyDescent="0.3">
      <c r="A6" s="30" t="s">
        <v>22</v>
      </c>
      <c r="B6" s="32">
        <v>0.23</v>
      </c>
      <c r="C6" s="32">
        <v>0.24</v>
      </c>
      <c r="D6" s="32">
        <v>0.245</v>
      </c>
      <c r="E6" s="32">
        <v>0.25</v>
      </c>
      <c r="F6" s="32">
        <v>0.25</v>
      </c>
      <c r="G6" s="32">
        <v>0.25</v>
      </c>
      <c r="H6" s="32">
        <v>0.25</v>
      </c>
      <c r="I6" s="33" t="s">
        <v>23</v>
      </c>
    </row>
    <row r="7" spans="1:9" ht="15" customHeight="1" x14ac:dyDescent="0.3">
      <c r="A7" s="30" t="s">
        <v>24</v>
      </c>
      <c r="B7" s="32">
        <v>0.255</v>
      </c>
      <c r="C7" s="32">
        <v>0.253</v>
      </c>
      <c r="D7" s="32">
        <v>0.252</v>
      </c>
      <c r="E7" s="32">
        <v>0.252</v>
      </c>
      <c r="F7" s="32">
        <v>0.252</v>
      </c>
      <c r="G7" s="32">
        <v>0.252</v>
      </c>
      <c r="H7" s="32">
        <v>0.252</v>
      </c>
      <c r="I7" s="33" t="s">
        <v>25</v>
      </c>
    </row>
    <row r="8" spans="1:9" ht="15" customHeight="1" x14ac:dyDescent="0.3">
      <c r="A8" s="30" t="s">
        <v>26</v>
      </c>
      <c r="B8" s="34">
        <v>980</v>
      </c>
      <c r="C8" s="34">
        <v>1020</v>
      </c>
      <c r="D8" s="34">
        <v>1080</v>
      </c>
      <c r="E8" s="34">
        <v>1140</v>
      </c>
      <c r="F8" s="34">
        <v>1200</v>
      </c>
      <c r="G8" s="34">
        <v>1260</v>
      </c>
      <c r="H8" s="34">
        <v>1320</v>
      </c>
      <c r="I8" s="33" t="s">
        <v>27</v>
      </c>
    </row>
    <row r="9" spans="1:9" ht="15" customHeight="1" x14ac:dyDescent="0.3">
      <c r="A9" s="30" t="s">
        <v>28</v>
      </c>
      <c r="B9" s="34">
        <v>1100</v>
      </c>
      <c r="C9" s="34">
        <v>1180</v>
      </c>
      <c r="D9" s="34">
        <v>1300</v>
      </c>
      <c r="E9" s="34">
        <v>1400</v>
      </c>
      <c r="F9" s="34">
        <v>1500</v>
      </c>
      <c r="G9" s="34">
        <v>1600</v>
      </c>
      <c r="H9" s="34">
        <v>1700</v>
      </c>
      <c r="I9" s="33" t="s">
        <v>29</v>
      </c>
    </row>
    <row r="10" spans="1:9" x14ac:dyDescent="0.3">
      <c r="A10" s="31"/>
      <c r="B10" s="31"/>
      <c r="C10" s="31"/>
      <c r="D10" s="31"/>
      <c r="E10" s="31"/>
      <c r="F10" s="31"/>
      <c r="G10" s="31"/>
      <c r="H10" s="31"/>
      <c r="I10" s="31"/>
    </row>
    <row r="11" spans="1:9" ht="15" customHeight="1" x14ac:dyDescent="0.3">
      <c r="A11" s="35" t="s">
        <v>30</v>
      </c>
      <c r="B11" s="36"/>
      <c r="C11" s="36"/>
      <c r="D11" s="36"/>
      <c r="E11" s="36"/>
      <c r="F11" s="36"/>
      <c r="G11" s="36"/>
      <c r="H11" s="36"/>
      <c r="I11" s="31"/>
    </row>
    <row r="12" spans="1:9" ht="15" customHeight="1" x14ac:dyDescent="0.3">
      <c r="A12" s="30" t="s">
        <v>31</v>
      </c>
      <c r="B12" s="37">
        <v>15</v>
      </c>
      <c r="C12" s="37">
        <v>15</v>
      </c>
      <c r="D12" s="37">
        <v>15</v>
      </c>
      <c r="E12" s="37">
        <v>14</v>
      </c>
      <c r="F12" s="37">
        <v>14</v>
      </c>
      <c r="G12" s="37">
        <v>14</v>
      </c>
      <c r="H12" s="37">
        <v>14</v>
      </c>
      <c r="I12" s="31"/>
    </row>
    <row r="13" spans="1:9" ht="15" customHeight="1" x14ac:dyDescent="0.3">
      <c r="A13" s="30" t="s">
        <v>32</v>
      </c>
      <c r="B13" s="37">
        <v>60</v>
      </c>
      <c r="C13" s="37">
        <v>58</v>
      </c>
      <c r="D13" s="37">
        <v>58</v>
      </c>
      <c r="E13" s="37">
        <v>57</v>
      </c>
      <c r="F13" s="37">
        <v>56</v>
      </c>
      <c r="G13" s="37">
        <v>55</v>
      </c>
      <c r="H13" s="37">
        <v>55</v>
      </c>
      <c r="I13" s="31"/>
    </row>
    <row r="14" spans="1:9" ht="15" customHeight="1" x14ac:dyDescent="0.3">
      <c r="A14" s="30" t="s">
        <v>33</v>
      </c>
      <c r="B14" s="37">
        <v>90</v>
      </c>
      <c r="C14" s="37">
        <v>92</v>
      </c>
      <c r="D14" s="37">
        <v>93</v>
      </c>
      <c r="E14" s="37">
        <v>94</v>
      </c>
      <c r="F14" s="37">
        <v>95</v>
      </c>
      <c r="G14" s="37">
        <v>95</v>
      </c>
      <c r="H14" s="37">
        <v>95</v>
      </c>
      <c r="I14" s="33" t="s">
        <v>34</v>
      </c>
    </row>
    <row r="15" spans="1:9" x14ac:dyDescent="0.3">
      <c r="A15" s="31"/>
      <c r="B15" s="31"/>
      <c r="C15" s="31"/>
      <c r="D15" s="31"/>
      <c r="E15" s="31"/>
      <c r="F15" s="31"/>
      <c r="G15" s="31"/>
      <c r="H15" s="31"/>
      <c r="I15" s="31"/>
    </row>
    <row r="16" spans="1:9" ht="15" customHeight="1" x14ac:dyDescent="0.3">
      <c r="A16" s="35" t="s">
        <v>35</v>
      </c>
      <c r="B16" s="36"/>
      <c r="C16" s="36"/>
      <c r="D16" s="36"/>
      <c r="E16" s="36"/>
      <c r="F16" s="36"/>
      <c r="G16" s="36"/>
      <c r="H16" s="36"/>
      <c r="I16" s="31"/>
    </row>
    <row r="17" spans="1:9" ht="15" customHeight="1" x14ac:dyDescent="0.3">
      <c r="A17" s="30" t="s">
        <v>36</v>
      </c>
      <c r="B17" s="34">
        <v>2200</v>
      </c>
      <c r="C17" s="38">
        <f t="shared" ref="C17:H17" si="0">B19</f>
        <v>2200</v>
      </c>
      <c r="D17" s="38">
        <f t="shared" si="0"/>
        <v>2250</v>
      </c>
      <c r="E17" s="38">
        <f t="shared" si="0"/>
        <v>2250</v>
      </c>
      <c r="F17" s="38">
        <f t="shared" si="0"/>
        <v>2250</v>
      </c>
      <c r="G17" s="38">
        <f t="shared" si="0"/>
        <v>2250</v>
      </c>
      <c r="H17" s="38">
        <f t="shared" si="0"/>
        <v>2250</v>
      </c>
      <c r="I17" s="31"/>
    </row>
    <row r="18" spans="1:9" ht="15" customHeight="1" x14ac:dyDescent="0.3">
      <c r="A18" s="30" t="s">
        <v>37</v>
      </c>
      <c r="B18" s="31"/>
      <c r="C18" s="34">
        <v>50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1"/>
    </row>
    <row r="19" spans="1:9" ht="15" customHeight="1" x14ac:dyDescent="0.3">
      <c r="A19" s="30" t="s">
        <v>38</v>
      </c>
      <c r="B19" s="39">
        <f t="shared" ref="B19:H19" si="1">B17+B18</f>
        <v>2200</v>
      </c>
      <c r="C19" s="39">
        <f t="shared" si="1"/>
        <v>2250</v>
      </c>
      <c r="D19" s="39">
        <f t="shared" si="1"/>
        <v>2250</v>
      </c>
      <c r="E19" s="39">
        <f t="shared" si="1"/>
        <v>2250</v>
      </c>
      <c r="F19" s="39">
        <f t="shared" si="1"/>
        <v>2250</v>
      </c>
      <c r="G19" s="39">
        <f t="shared" si="1"/>
        <v>2250</v>
      </c>
      <c r="H19" s="39">
        <f t="shared" si="1"/>
        <v>2250</v>
      </c>
      <c r="I19" s="31"/>
    </row>
    <row r="20" spans="1:9" ht="15" customHeight="1" x14ac:dyDescent="0.3">
      <c r="A20" s="30" t="s">
        <v>39</v>
      </c>
      <c r="B20" s="32">
        <v>6.5000000000000002E-2</v>
      </c>
      <c r="C20" s="32">
        <v>6.5000000000000002E-2</v>
      </c>
      <c r="D20" s="32">
        <v>6.5000000000000002E-2</v>
      </c>
      <c r="E20" s="32">
        <v>6.5000000000000002E-2</v>
      </c>
      <c r="F20" s="32">
        <v>6.5000000000000002E-2</v>
      </c>
      <c r="G20" s="32">
        <v>6.5000000000000002E-2</v>
      </c>
      <c r="H20" s="32">
        <v>6.5000000000000002E-2</v>
      </c>
      <c r="I20" s="31"/>
    </row>
    <row r="21" spans="1:9" ht="15" customHeight="1" x14ac:dyDescent="0.3">
      <c r="A21" s="30" t="s">
        <v>40</v>
      </c>
      <c r="B21" s="34">
        <v>90</v>
      </c>
      <c r="C21" s="39">
        <f t="shared" ref="C21:H21" si="2">AVERAGE(C17:C19)*C20</f>
        <v>97.5</v>
      </c>
      <c r="D21" s="39">
        <f t="shared" si="2"/>
        <v>97.5</v>
      </c>
      <c r="E21" s="39">
        <f t="shared" si="2"/>
        <v>97.5</v>
      </c>
      <c r="F21" s="39">
        <f t="shared" si="2"/>
        <v>97.5</v>
      </c>
      <c r="G21" s="39">
        <f t="shared" si="2"/>
        <v>97.5</v>
      </c>
      <c r="H21" s="39">
        <f t="shared" si="2"/>
        <v>97.5</v>
      </c>
      <c r="I21" s="33" t="s">
        <v>41</v>
      </c>
    </row>
    <row r="22" spans="1:9" x14ac:dyDescent="0.3">
      <c r="A22" s="31"/>
      <c r="B22" s="31"/>
      <c r="C22" s="31"/>
      <c r="D22" s="31"/>
      <c r="E22" s="31"/>
      <c r="F22" s="31"/>
      <c r="G22" s="31"/>
      <c r="H22" s="31"/>
      <c r="I22" s="31"/>
    </row>
    <row r="23" spans="1:9" ht="15" customHeight="1" x14ac:dyDescent="0.3">
      <c r="A23" s="35" t="s">
        <v>42</v>
      </c>
      <c r="B23" s="36"/>
      <c r="C23" s="36"/>
      <c r="D23" s="36"/>
      <c r="E23" s="36"/>
      <c r="F23" s="36"/>
      <c r="G23" s="36"/>
      <c r="H23" s="36"/>
      <c r="I23" s="31"/>
    </row>
    <row r="24" spans="1:9" ht="15" customHeight="1" x14ac:dyDescent="0.3">
      <c r="A24" s="30" t="s">
        <v>43</v>
      </c>
      <c r="B24" s="32">
        <v>0.95</v>
      </c>
      <c r="C24" s="32">
        <v>0.95</v>
      </c>
      <c r="D24" s="32">
        <v>0.9</v>
      </c>
      <c r="E24" s="32">
        <v>0.9</v>
      </c>
      <c r="F24" s="32">
        <v>0.9</v>
      </c>
      <c r="G24" s="32">
        <v>0.9</v>
      </c>
      <c r="H24" s="32">
        <v>0.9</v>
      </c>
      <c r="I24" s="33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8.6640625" defaultRowHeight="14.4" x14ac:dyDescent="0.3"/>
  <cols>
    <col min="1" max="1" width="30" customWidth="1"/>
    <col min="2" max="8" width="13" customWidth="1"/>
    <col min="9" max="9" width="40" customWidth="1"/>
  </cols>
  <sheetData>
    <row r="1" spans="1:9" ht="17.25" customHeight="1" x14ac:dyDescent="0.3">
      <c r="A1" s="2" t="s">
        <v>45</v>
      </c>
    </row>
    <row r="2" spans="1:9" ht="15" customHeight="1" x14ac:dyDescent="0.3">
      <c r="A2" s="3" t="s">
        <v>46</v>
      </c>
    </row>
    <row r="4" spans="1:9" ht="15" customHeight="1" x14ac:dyDescent="0.3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6" t="s">
        <v>47</v>
      </c>
    </row>
    <row r="5" spans="1:9" ht="15" customHeight="1" x14ac:dyDescent="0.3">
      <c r="A5" s="16" t="s">
        <v>48</v>
      </c>
      <c r="B5" s="10">
        <v>58154</v>
      </c>
      <c r="C5" s="14">
        <f>B5*(1+Assumptions!C5)</f>
        <v>60695.329800000007</v>
      </c>
      <c r="D5" s="14">
        <f>C5*(1+Assumptions!D5)</f>
        <v>65550.95618400001</v>
      </c>
      <c r="E5" s="14">
        <f>D5*(1+Assumptions!E5)</f>
        <v>71450.542240560011</v>
      </c>
      <c r="F5" s="14">
        <f>E5*(1+Assumptions!F5)</f>
        <v>77881.091042210421</v>
      </c>
      <c r="G5" s="14">
        <f>F5*(1+Assumptions!G5)</f>
        <v>84500.983780798299</v>
      </c>
      <c r="H5" s="14">
        <f>G5*(1+Assumptions!H5)</f>
        <v>91261.062483262169</v>
      </c>
      <c r="I5" s="9" t="s">
        <v>49</v>
      </c>
    </row>
    <row r="6" spans="1:9" ht="15" customHeight="1" x14ac:dyDescent="0.3">
      <c r="A6" s="5" t="s">
        <v>50</v>
      </c>
      <c r="B6" s="14">
        <f>B5*Assumptions!B6</f>
        <v>13375.42</v>
      </c>
      <c r="C6" s="14">
        <f>C5*Assumptions!C6</f>
        <v>14566.879152000001</v>
      </c>
      <c r="D6" s="14">
        <f>D5*Assumptions!D6</f>
        <v>16059.984265080002</v>
      </c>
      <c r="E6" s="14">
        <f>E5*Assumptions!E6</f>
        <v>17862.635560140003</v>
      </c>
      <c r="F6" s="14">
        <f>F5*Assumptions!F6</f>
        <v>19470.272760552605</v>
      </c>
      <c r="G6" s="14">
        <f>G5*Assumptions!G6</f>
        <v>21125.245945199575</v>
      </c>
      <c r="H6" s="14">
        <f>H5*Assumptions!H6</f>
        <v>22815.265620815542</v>
      </c>
    </row>
    <row r="7" spans="1:9" ht="15" customHeight="1" x14ac:dyDescent="0.3">
      <c r="A7" s="5" t="s">
        <v>51</v>
      </c>
      <c r="B7" s="14">
        <f>Assumptions!B8</f>
        <v>980</v>
      </c>
      <c r="C7" s="14">
        <f>Assumptions!C8</f>
        <v>1020</v>
      </c>
      <c r="D7" s="14">
        <f>Assumptions!D8</f>
        <v>1080</v>
      </c>
      <c r="E7" s="14">
        <f>Assumptions!E8</f>
        <v>1140</v>
      </c>
      <c r="F7" s="14">
        <f>Assumptions!F8</f>
        <v>1200</v>
      </c>
      <c r="G7" s="14">
        <f>Assumptions!G8</f>
        <v>1260</v>
      </c>
      <c r="H7" s="14">
        <f>Assumptions!H8</f>
        <v>1320</v>
      </c>
    </row>
    <row r="8" spans="1:9" ht="15" customHeight="1" x14ac:dyDescent="0.3">
      <c r="A8" s="16" t="s">
        <v>52</v>
      </c>
      <c r="B8" s="15">
        <f t="shared" ref="B8:H8" si="0">B6-B7</f>
        <v>12395.42</v>
      </c>
      <c r="C8" s="15">
        <f t="shared" si="0"/>
        <v>13546.879152000001</v>
      </c>
      <c r="D8" s="15">
        <f t="shared" si="0"/>
        <v>14979.984265080002</v>
      </c>
      <c r="E8" s="15">
        <f t="shared" si="0"/>
        <v>16722.635560140003</v>
      </c>
      <c r="F8" s="15">
        <f t="shared" si="0"/>
        <v>18270.272760552605</v>
      </c>
      <c r="G8" s="15">
        <f t="shared" si="0"/>
        <v>19865.245945199575</v>
      </c>
      <c r="H8" s="15">
        <f t="shared" si="0"/>
        <v>21495.265620815542</v>
      </c>
    </row>
    <row r="9" spans="1:9" ht="15" customHeight="1" x14ac:dyDescent="0.3">
      <c r="A9" s="5" t="s">
        <v>53</v>
      </c>
      <c r="B9" s="14">
        <f>Assumptions!B21</f>
        <v>90</v>
      </c>
      <c r="C9" s="14">
        <f>Assumptions!C21</f>
        <v>97.5</v>
      </c>
      <c r="D9" s="14">
        <f>Assumptions!D21</f>
        <v>97.5</v>
      </c>
      <c r="E9" s="14">
        <f>Assumptions!E21</f>
        <v>97.5</v>
      </c>
      <c r="F9" s="14">
        <f>Assumptions!F21</f>
        <v>97.5</v>
      </c>
      <c r="G9" s="14">
        <f>Assumptions!G21</f>
        <v>97.5</v>
      </c>
      <c r="H9" s="14">
        <f>Assumptions!H21</f>
        <v>97.5</v>
      </c>
    </row>
    <row r="10" spans="1:9" ht="15" customHeight="1" x14ac:dyDescent="0.3">
      <c r="A10" s="16" t="s">
        <v>54</v>
      </c>
      <c r="B10" s="15">
        <f t="shared" ref="B10:H10" si="1">B8-B9</f>
        <v>12305.42</v>
      </c>
      <c r="C10" s="15">
        <f t="shared" si="1"/>
        <v>13449.379152000001</v>
      </c>
      <c r="D10" s="15">
        <f t="shared" si="1"/>
        <v>14882.484265080002</v>
      </c>
      <c r="E10" s="15">
        <f t="shared" si="1"/>
        <v>16625.135560140003</v>
      </c>
      <c r="F10" s="15">
        <f t="shared" si="1"/>
        <v>18172.772760552605</v>
      </c>
      <c r="G10" s="15">
        <f t="shared" si="1"/>
        <v>19767.745945199575</v>
      </c>
      <c r="H10" s="15">
        <f t="shared" si="1"/>
        <v>21397.765620815542</v>
      </c>
    </row>
    <row r="11" spans="1:9" ht="15" customHeight="1" x14ac:dyDescent="0.3">
      <c r="A11" s="5" t="s">
        <v>55</v>
      </c>
      <c r="B11" s="14">
        <f>B10*Assumptions!B7</f>
        <v>3137.8821000000003</v>
      </c>
      <c r="C11" s="14">
        <f>C10*Assumptions!C7</f>
        <v>3402.6929254560005</v>
      </c>
      <c r="D11" s="14">
        <f>D10*Assumptions!D7</f>
        <v>3750.3860348001604</v>
      </c>
      <c r="E11" s="14">
        <f>E10*Assumptions!E7</f>
        <v>4189.5341611552803</v>
      </c>
      <c r="F11" s="14">
        <f>F10*Assumptions!F7</f>
        <v>4579.5387356592564</v>
      </c>
      <c r="G11" s="14">
        <f>G10*Assumptions!G7</f>
        <v>4981.4719781902932</v>
      </c>
      <c r="H11" s="14">
        <f>H10*Assumptions!H7</f>
        <v>5392.2369364455162</v>
      </c>
    </row>
    <row r="12" spans="1:9" ht="15" customHeight="1" x14ac:dyDescent="0.3">
      <c r="A12" s="16" t="s">
        <v>56</v>
      </c>
      <c r="B12" s="15">
        <f t="shared" ref="B12:H12" si="2">B10-B11</f>
        <v>9167.5378999999994</v>
      </c>
      <c r="C12" s="15">
        <f t="shared" si="2"/>
        <v>10046.686226544001</v>
      </c>
      <c r="D12" s="15">
        <f t="shared" si="2"/>
        <v>11132.098230279842</v>
      </c>
      <c r="E12" s="15">
        <f t="shared" si="2"/>
        <v>12435.601398984723</v>
      </c>
      <c r="F12" s="15">
        <f t="shared" si="2"/>
        <v>13593.234024893349</v>
      </c>
      <c r="G12" s="15">
        <f t="shared" si="2"/>
        <v>14786.273967009281</v>
      </c>
      <c r="H12" s="15">
        <f t="shared" si="2"/>
        <v>16005.528684370027</v>
      </c>
    </row>
    <row r="14" spans="1:9" ht="15" customHeight="1" x14ac:dyDescent="0.3">
      <c r="A14" s="5" t="s">
        <v>57</v>
      </c>
      <c r="B14" s="17">
        <f t="shared" ref="B14:H14" si="3">B6/B5</f>
        <v>0.23</v>
      </c>
      <c r="C14" s="17">
        <f t="shared" si="3"/>
        <v>0.24</v>
      </c>
      <c r="D14" s="17">
        <f t="shared" si="3"/>
        <v>0.245</v>
      </c>
      <c r="E14" s="17">
        <f t="shared" si="3"/>
        <v>0.25</v>
      </c>
      <c r="F14" s="17">
        <f t="shared" si="3"/>
        <v>0.25</v>
      </c>
      <c r="G14" s="17">
        <f t="shared" si="3"/>
        <v>0.25</v>
      </c>
      <c r="H14" s="17">
        <f t="shared" si="3"/>
        <v>0.25</v>
      </c>
    </row>
    <row r="15" spans="1:9" ht="15" customHeight="1" x14ac:dyDescent="0.3">
      <c r="A15" s="5" t="s">
        <v>58</v>
      </c>
      <c r="B15" s="17">
        <f t="shared" ref="B15:H15" si="4">B12/B5</f>
        <v>0.1576424304433057</v>
      </c>
      <c r="C15" s="17">
        <f t="shared" si="4"/>
        <v>0.16552651183623687</v>
      </c>
      <c r="D15" s="17">
        <f t="shared" si="4"/>
        <v>0.1698235827259682</v>
      </c>
      <c r="E15" s="17">
        <f t="shared" si="4"/>
        <v>0.17404488488157982</v>
      </c>
      <c r="F15" s="17">
        <f t="shared" si="4"/>
        <v>0.17453831017243984</v>
      </c>
      <c r="G15" s="17">
        <f t="shared" si="4"/>
        <v>0.17498345351062364</v>
      </c>
      <c r="H15" s="17">
        <f t="shared" si="4"/>
        <v>0.17538179206828255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" sqref="K1"/>
    </sheetView>
  </sheetViews>
  <sheetFormatPr defaultColWidth="8.6640625" defaultRowHeight="14.4" x14ac:dyDescent="0.3"/>
  <cols>
    <col min="1" max="1" width="30" customWidth="1"/>
    <col min="2" max="8" width="13" customWidth="1"/>
    <col min="9" max="9" width="45" customWidth="1"/>
  </cols>
  <sheetData>
    <row r="1" spans="1:9" ht="17.25" customHeight="1" x14ac:dyDescent="0.3">
      <c r="A1" s="2" t="s">
        <v>59</v>
      </c>
    </row>
    <row r="2" spans="1:9" ht="15" customHeight="1" x14ac:dyDescent="0.3">
      <c r="A2" s="3" t="s">
        <v>46</v>
      </c>
    </row>
    <row r="4" spans="1:9" ht="15" customHeight="1" x14ac:dyDescent="0.3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6" t="s">
        <v>47</v>
      </c>
    </row>
    <row r="5" spans="1:9" ht="15" customHeight="1" x14ac:dyDescent="0.3">
      <c r="A5" s="11" t="s">
        <v>60</v>
      </c>
      <c r="B5" s="12"/>
      <c r="C5" s="12"/>
      <c r="D5" s="12"/>
      <c r="E5" s="12"/>
      <c r="F5" s="12"/>
      <c r="G5" s="12"/>
      <c r="H5" s="12"/>
    </row>
    <row r="6" spans="1:9" ht="15" customHeight="1" x14ac:dyDescent="0.3">
      <c r="A6" s="5" t="s">
        <v>61</v>
      </c>
      <c r="B6" s="10">
        <v>3500</v>
      </c>
      <c r="C6" s="14">
        <f>'Cash Flow'!C24</f>
        <v>4404.3616401819945</v>
      </c>
      <c r="D6" s="14">
        <f>'Cash Flow'!D24</f>
        <v>5546.8380368269645</v>
      </c>
      <c r="E6" s="14">
        <f>'Cash Flow'!E24</f>
        <v>7170.1934682473548</v>
      </c>
      <c r="F6" s="14">
        <f>'Cash Flow'!F24</f>
        <v>8791.8228504243853</v>
      </c>
      <c r="G6" s="14">
        <f>'Cash Flow'!G24</f>
        <v>10380.66696520494</v>
      </c>
      <c r="H6" s="14">
        <f>'Cash Flow'!H24</f>
        <v>11897.552050736253</v>
      </c>
      <c r="I6" s="9" t="s">
        <v>62</v>
      </c>
    </row>
    <row r="7" spans="1:9" ht="15" customHeight="1" x14ac:dyDescent="0.3">
      <c r="A7" s="5" t="s">
        <v>63</v>
      </c>
      <c r="B7" s="14">
        <f>'Income Statement'!B5/365*Assumptions!B12</f>
        <v>2389.8904109589043</v>
      </c>
      <c r="C7" s="14">
        <f>'Income Statement'!C5/365*Assumptions!C12</f>
        <v>2494.3286219178085</v>
      </c>
      <c r="D7" s="14">
        <f>'Income Statement'!D5/365*Assumptions!D12</f>
        <v>2693.8749116712333</v>
      </c>
      <c r="E7" s="14">
        <f>'Income Statement'!E5/365*Assumptions!E12</f>
        <v>2740.5687434735346</v>
      </c>
      <c r="F7" s="14">
        <f>'Income Statement'!F5/365*Assumptions!F12</f>
        <v>2987.219930386153</v>
      </c>
      <c r="G7" s="14">
        <f>'Income Statement'!G5/365*Assumptions!G12</f>
        <v>3241.133624468976</v>
      </c>
      <c r="H7" s="14">
        <f>'Income Statement'!H5/365*Assumptions!H12</f>
        <v>3500.4243144264942</v>
      </c>
    </row>
    <row r="8" spans="1:9" ht="15" customHeight="1" x14ac:dyDescent="0.3">
      <c r="A8" s="5" t="s">
        <v>64</v>
      </c>
      <c r="B8" s="14">
        <f>('Income Statement'!B5*(1-Assumptions!B6))/365*Assumptions!B13</f>
        <v>7360.8624657534256</v>
      </c>
      <c r="C8" s="14">
        <f>('Income Statement'!C5*(1-Assumptions!C6))/365*Assumptions!C13</f>
        <v>7330.0003769424666</v>
      </c>
      <c r="D8" s="14">
        <f>('Income Statement'!D5*(1-Assumptions!D6))/365*Assumptions!D13</f>
        <v>7864.3188254722199</v>
      </c>
      <c r="E8" s="14">
        <f>('Income Statement'!E5*(1-Assumptions!E6))/365*Assumptions!E13</f>
        <v>8368.5224131066861</v>
      </c>
      <c r="F8" s="14">
        <f>('Income Statement'!F5*(1-Assumptions!F6))/365*Assumptions!F13</f>
        <v>8961.6597911584613</v>
      </c>
      <c r="G8" s="14">
        <f>('Income Statement'!G5*(1-Assumptions!G6))/365*Assumptions!G13</f>
        <v>9549.7687149532321</v>
      </c>
      <c r="H8" s="14">
        <f>('Income Statement'!H5*(1-Assumptions!H6))/365*Assumptions!H13</f>
        <v>10313.750212149493</v>
      </c>
    </row>
    <row r="9" spans="1:9" ht="15" customHeight="1" x14ac:dyDescent="0.3">
      <c r="A9" s="5" t="s">
        <v>65</v>
      </c>
      <c r="B9" s="10">
        <v>10500</v>
      </c>
      <c r="C9" s="14">
        <f>B9+Assumptions!C9-Assumptions!C8</f>
        <v>10660</v>
      </c>
      <c r="D9" s="14">
        <f>C9+Assumptions!D9-Assumptions!D8</f>
        <v>10880</v>
      </c>
      <c r="E9" s="14">
        <f>D9+Assumptions!E9-Assumptions!E8</f>
        <v>11140</v>
      </c>
      <c r="F9" s="14">
        <f>E9+Assumptions!F9-Assumptions!F8</f>
        <v>11440</v>
      </c>
      <c r="G9" s="14">
        <f>F9+Assumptions!G9-Assumptions!G8</f>
        <v>11780</v>
      </c>
      <c r="H9" s="14">
        <f>G9+Assumptions!H9-Assumptions!H8</f>
        <v>12160</v>
      </c>
    </row>
    <row r="10" spans="1:9" ht="15" customHeight="1" x14ac:dyDescent="0.3">
      <c r="A10" s="16" t="s">
        <v>66</v>
      </c>
      <c r="B10" s="15">
        <f t="shared" ref="B10:H10" si="0">SUM(B6:B9)</f>
        <v>23750.752876712329</v>
      </c>
      <c r="C10" s="15">
        <f t="shared" si="0"/>
        <v>24888.69063904227</v>
      </c>
      <c r="D10" s="15">
        <f t="shared" si="0"/>
        <v>26985.031773970419</v>
      </c>
      <c r="E10" s="15">
        <f t="shared" si="0"/>
        <v>29419.284624827575</v>
      </c>
      <c r="F10" s="15">
        <f t="shared" si="0"/>
        <v>32180.702571968999</v>
      </c>
      <c r="G10" s="15">
        <f t="shared" si="0"/>
        <v>34951.569304627148</v>
      </c>
      <c r="H10" s="15">
        <f t="shared" si="0"/>
        <v>37871.726577312242</v>
      </c>
    </row>
    <row r="12" spans="1:9" ht="15" customHeight="1" x14ac:dyDescent="0.3">
      <c r="A12" s="11" t="s">
        <v>67</v>
      </c>
      <c r="B12" s="12"/>
      <c r="C12" s="12"/>
      <c r="D12" s="12"/>
      <c r="E12" s="12"/>
      <c r="F12" s="12"/>
      <c r="G12" s="12"/>
      <c r="H12" s="12"/>
    </row>
    <row r="13" spans="1:9" ht="15" customHeight="1" x14ac:dyDescent="0.3">
      <c r="A13" s="5" t="s">
        <v>68</v>
      </c>
      <c r="B13" s="14">
        <f>('Income Statement'!B5*(1-Assumptions!B6))/365*Assumptions!B14</f>
        <v>11041.293698630137</v>
      </c>
      <c r="C13" s="14">
        <f>('Income Statement'!C5*(1-Assumptions!C6))/365*Assumptions!C14</f>
        <v>11626.897149632878</v>
      </c>
      <c r="D13" s="14">
        <f>('Income Statement'!D5*(1-Assumptions!D6))/365*Assumptions!D14</f>
        <v>12610.028461533042</v>
      </c>
      <c r="E13" s="14">
        <f>('Income Statement'!E5*(1-Assumptions!E6))/365*Assumptions!E14</f>
        <v>13800.721172491729</v>
      </c>
      <c r="F13" s="14">
        <f>('Income Statement'!F5*(1-Assumptions!F6))/365*Assumptions!F14</f>
        <v>15202.815717143818</v>
      </c>
      <c r="G13" s="14">
        <f>('Income Statement'!G5*(1-Assumptions!G6))/365*Assumptions!G14</f>
        <v>16495.055053101038</v>
      </c>
      <c r="H13" s="14">
        <f>('Income Statement'!H5*(1-Assumptions!H6))/365*Assumptions!H14</f>
        <v>17814.659457349124</v>
      </c>
    </row>
    <row r="14" spans="1:9" ht="15" customHeight="1" x14ac:dyDescent="0.3">
      <c r="A14" s="5" t="s">
        <v>69</v>
      </c>
      <c r="B14" s="14">
        <f>Assumptions!B19</f>
        <v>2200</v>
      </c>
      <c r="C14" s="14">
        <f>Assumptions!C19</f>
        <v>2250</v>
      </c>
      <c r="D14" s="14">
        <f>Assumptions!D19</f>
        <v>2250</v>
      </c>
      <c r="E14" s="14">
        <f>Assumptions!E19</f>
        <v>2250</v>
      </c>
      <c r="F14" s="14">
        <f>Assumptions!F19</f>
        <v>2250</v>
      </c>
      <c r="G14" s="14">
        <f>Assumptions!G19</f>
        <v>2250</v>
      </c>
      <c r="H14" s="14">
        <f>Assumptions!H19</f>
        <v>2250</v>
      </c>
    </row>
    <row r="15" spans="1:9" ht="15" customHeight="1" x14ac:dyDescent="0.3">
      <c r="A15" s="5" t="s">
        <v>70</v>
      </c>
      <c r="B15" s="10">
        <v>235</v>
      </c>
      <c r="C15" s="15">
        <f t="shared" ref="C15:H15" si="1">B15</f>
        <v>235</v>
      </c>
      <c r="D15" s="15">
        <f t="shared" si="1"/>
        <v>235</v>
      </c>
      <c r="E15" s="15">
        <f t="shared" si="1"/>
        <v>235</v>
      </c>
      <c r="F15" s="15">
        <f t="shared" si="1"/>
        <v>235</v>
      </c>
      <c r="G15" s="15">
        <f t="shared" si="1"/>
        <v>235</v>
      </c>
      <c r="H15" s="15">
        <f t="shared" si="1"/>
        <v>235</v>
      </c>
    </row>
    <row r="16" spans="1:9" ht="15" customHeight="1" x14ac:dyDescent="0.3">
      <c r="A16" s="5" t="s">
        <v>71</v>
      </c>
      <c r="B16" s="10">
        <v>10274.459178082199</v>
      </c>
      <c r="C16" s="14">
        <f>B16+'Income Statement'!C12-'Income Statement'!C12*Assumptions!C24</f>
        <v>10776.7934894094</v>
      </c>
      <c r="D16" s="14">
        <f>C16+'Income Statement'!D12-'Income Statement'!D12*Assumptions!D24</f>
        <v>11890.003312437386</v>
      </c>
      <c r="E16" s="14">
        <f>D16+'Income Statement'!E12-'Income Statement'!E12*Assumptions!E24</f>
        <v>13133.563452335857</v>
      </c>
      <c r="F16" s="14">
        <f>E16+'Income Statement'!F12-'Income Statement'!F12*Assumptions!F24</f>
        <v>14492.886854825194</v>
      </c>
      <c r="G16" s="14">
        <f>F16+'Income Statement'!G12-'Income Statement'!G12*Assumptions!G24</f>
        <v>15971.514251526123</v>
      </c>
      <c r="H16" s="14">
        <f>G16+'Income Statement'!H12-'Income Statement'!H12*Assumptions!H24</f>
        <v>17572.067119963125</v>
      </c>
    </row>
    <row r="17" spans="1:9" ht="15" customHeight="1" x14ac:dyDescent="0.3">
      <c r="A17" s="16" t="s">
        <v>72</v>
      </c>
      <c r="B17" s="15">
        <f t="shared" ref="B17:H17" si="2">SUM(B13:B16)</f>
        <v>23750.752876712337</v>
      </c>
      <c r="C17" s="15">
        <f t="shared" si="2"/>
        <v>24888.690639042277</v>
      </c>
      <c r="D17" s="15">
        <f t="shared" si="2"/>
        <v>26985.031773970426</v>
      </c>
      <c r="E17" s="15">
        <f t="shared" si="2"/>
        <v>29419.284624827586</v>
      </c>
      <c r="F17" s="15">
        <f t="shared" si="2"/>
        <v>32180.702571969014</v>
      </c>
      <c r="G17" s="15">
        <f t="shared" si="2"/>
        <v>34951.569304627163</v>
      </c>
      <c r="H17" s="15">
        <f t="shared" si="2"/>
        <v>37871.726577312249</v>
      </c>
    </row>
    <row r="19" spans="1:9" ht="15" customHeight="1" x14ac:dyDescent="0.3">
      <c r="A19" s="16" t="s">
        <v>73</v>
      </c>
      <c r="B19" s="15">
        <f t="shared" ref="B19:H19" si="3">B10-B17</f>
        <v>0</v>
      </c>
      <c r="C19" s="15">
        <f t="shared" si="3"/>
        <v>0</v>
      </c>
      <c r="D19" s="15">
        <f t="shared" si="3"/>
        <v>0</v>
      </c>
      <c r="E19" s="15">
        <f t="shared" si="3"/>
        <v>0</v>
      </c>
      <c r="F19" s="15">
        <f t="shared" si="3"/>
        <v>0</v>
      </c>
      <c r="G19" s="15">
        <f t="shared" si="3"/>
        <v>0</v>
      </c>
      <c r="H19" s="15">
        <f t="shared" si="3"/>
        <v>0</v>
      </c>
      <c r="I19" s="9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0" customWidth="1"/>
    <col min="2" max="8" width="13" customWidth="1"/>
    <col min="9" max="9" width="40" customWidth="1"/>
  </cols>
  <sheetData>
    <row r="1" spans="1:9" ht="17.25" customHeight="1" x14ac:dyDescent="0.3">
      <c r="A1" s="2" t="s">
        <v>75</v>
      </c>
    </row>
    <row r="2" spans="1:9" ht="15" customHeight="1" x14ac:dyDescent="0.3">
      <c r="A2" s="3" t="s">
        <v>46</v>
      </c>
    </row>
    <row r="4" spans="1:9" ht="15" customHeight="1" x14ac:dyDescent="0.3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6" t="s">
        <v>47</v>
      </c>
    </row>
    <row r="5" spans="1:9" ht="15" customHeight="1" x14ac:dyDescent="0.3">
      <c r="A5" s="11" t="s">
        <v>76</v>
      </c>
      <c r="B5" s="12"/>
      <c r="C5" s="12"/>
      <c r="D5" s="12"/>
      <c r="E5" s="12"/>
      <c r="F5" s="12"/>
      <c r="G5" s="12"/>
      <c r="H5" s="12"/>
    </row>
    <row r="6" spans="1:9" ht="15" customHeight="1" x14ac:dyDescent="0.3">
      <c r="A6" s="5" t="s">
        <v>56</v>
      </c>
      <c r="B6" s="14">
        <f>'Income Statement'!B12</f>
        <v>9167.5378999999994</v>
      </c>
      <c r="C6" s="14">
        <f>'Income Statement'!C12</f>
        <v>10046.686226544001</v>
      </c>
      <c r="D6" s="14">
        <f>'Income Statement'!D12</f>
        <v>11132.098230279842</v>
      </c>
      <c r="E6" s="14">
        <f>'Income Statement'!E12</f>
        <v>12435.601398984723</v>
      </c>
      <c r="F6" s="14">
        <f>'Income Statement'!F12</f>
        <v>13593.234024893349</v>
      </c>
      <c r="G6" s="14">
        <f>'Income Statement'!G12</f>
        <v>14786.273967009281</v>
      </c>
      <c r="H6" s="14">
        <f>'Income Statement'!H12</f>
        <v>16005.528684370027</v>
      </c>
    </row>
    <row r="7" spans="1:9" ht="15" customHeight="1" x14ac:dyDescent="0.3">
      <c r="A7" s="5" t="s">
        <v>77</v>
      </c>
      <c r="B7" s="14">
        <f>Assumptions!B8</f>
        <v>980</v>
      </c>
      <c r="C7" s="14">
        <f>Assumptions!C8</f>
        <v>1020</v>
      </c>
      <c r="D7" s="14">
        <f>Assumptions!D8</f>
        <v>1080</v>
      </c>
      <c r="E7" s="14">
        <f>Assumptions!E8</f>
        <v>1140</v>
      </c>
      <c r="F7" s="14">
        <f>Assumptions!F8</f>
        <v>1200</v>
      </c>
      <c r="G7" s="14">
        <f>Assumptions!G8</f>
        <v>1260</v>
      </c>
      <c r="H7" s="14">
        <f>Assumptions!H8</f>
        <v>1320</v>
      </c>
    </row>
    <row r="8" spans="1:9" ht="15" customHeight="1" x14ac:dyDescent="0.3">
      <c r="A8" s="5" t="s">
        <v>78</v>
      </c>
      <c r="B8" s="10">
        <v>0</v>
      </c>
      <c r="C8" s="14">
        <f>-('Balance Sheet'!C7-'Balance Sheet'!B7)</f>
        <v>-104.43821095890416</v>
      </c>
      <c r="D8" s="14">
        <f>-('Balance Sheet'!D7-'Balance Sheet'!C7)</f>
        <v>-199.54628975342484</v>
      </c>
      <c r="E8" s="14">
        <f>-('Balance Sheet'!E7-'Balance Sheet'!D7)</f>
        <v>-46.693831802301247</v>
      </c>
      <c r="F8" s="14">
        <f>-('Balance Sheet'!F7-'Balance Sheet'!E7)</f>
        <v>-246.65118691261841</v>
      </c>
      <c r="G8" s="14">
        <f>-('Balance Sheet'!G7-'Balance Sheet'!F7)</f>
        <v>-253.91369408282299</v>
      </c>
      <c r="H8" s="14">
        <f>-('Balance Sheet'!H7-'Balance Sheet'!G7)</f>
        <v>-259.29068995751823</v>
      </c>
    </row>
    <row r="9" spans="1:9" ht="15" customHeight="1" x14ac:dyDescent="0.3">
      <c r="A9" s="5" t="s">
        <v>79</v>
      </c>
      <c r="B9" s="10">
        <v>0</v>
      </c>
      <c r="C9" s="14">
        <f>-('Balance Sheet'!C8-'Balance Sheet'!B8)</f>
        <v>30.862088810958994</v>
      </c>
      <c r="D9" s="14">
        <f>-('Balance Sheet'!D8-'Balance Sheet'!C8)</f>
        <v>-534.31844852975337</v>
      </c>
      <c r="E9" s="14">
        <f>-('Balance Sheet'!E8-'Balance Sheet'!D8)</f>
        <v>-504.2035876344662</v>
      </c>
      <c r="F9" s="14">
        <f>-('Balance Sheet'!F8-'Balance Sheet'!E8)</f>
        <v>-593.13737805177516</v>
      </c>
      <c r="G9" s="14">
        <f>-('Balance Sheet'!G8-'Balance Sheet'!F8)</f>
        <v>-588.10892379477082</v>
      </c>
      <c r="H9" s="14">
        <f>-('Balance Sheet'!H8-'Balance Sheet'!G8)</f>
        <v>-763.98149719626053</v>
      </c>
    </row>
    <row r="10" spans="1:9" ht="15" customHeight="1" x14ac:dyDescent="0.3">
      <c r="A10" s="5" t="s">
        <v>80</v>
      </c>
      <c r="B10" s="10">
        <v>0</v>
      </c>
      <c r="C10" s="14">
        <f>'Balance Sheet'!C13-'Balance Sheet'!B13</f>
        <v>585.60345100274026</v>
      </c>
      <c r="D10" s="14">
        <f>'Balance Sheet'!D13-'Balance Sheet'!C13</f>
        <v>983.13131190016429</v>
      </c>
      <c r="E10" s="14">
        <f>'Balance Sheet'!E13-'Balance Sheet'!D13</f>
        <v>1190.6927109586868</v>
      </c>
      <c r="F10" s="14">
        <f>'Balance Sheet'!F13-'Balance Sheet'!E13</f>
        <v>1402.0945446520891</v>
      </c>
      <c r="G10" s="14">
        <f>'Balance Sheet'!G13-'Balance Sheet'!F13</f>
        <v>1292.2393359572197</v>
      </c>
      <c r="H10" s="14">
        <f>'Balance Sheet'!H13-'Balance Sheet'!G13</f>
        <v>1319.6044042480862</v>
      </c>
    </row>
    <row r="11" spans="1:9" ht="15" customHeight="1" x14ac:dyDescent="0.3">
      <c r="A11" s="16" t="s">
        <v>81</v>
      </c>
      <c r="B11" s="15">
        <f t="shared" ref="B11:H11" si="0">SUM(B6:B10)</f>
        <v>10147.537899999999</v>
      </c>
      <c r="C11" s="15">
        <f t="shared" si="0"/>
        <v>11578.713555398796</v>
      </c>
      <c r="D11" s="15">
        <f t="shared" si="0"/>
        <v>12461.364803896828</v>
      </c>
      <c r="E11" s="15">
        <f t="shared" si="0"/>
        <v>14215.396690506641</v>
      </c>
      <c r="F11" s="15">
        <f t="shared" si="0"/>
        <v>15355.540004581044</v>
      </c>
      <c r="G11" s="15">
        <f t="shared" si="0"/>
        <v>16496.490685088909</v>
      </c>
      <c r="H11" s="15">
        <f t="shared" si="0"/>
        <v>17621.860901464337</v>
      </c>
    </row>
    <row r="13" spans="1:9" ht="15" customHeight="1" x14ac:dyDescent="0.3">
      <c r="A13" s="11" t="s">
        <v>82</v>
      </c>
      <c r="B13" s="12"/>
      <c r="C13" s="12"/>
      <c r="D13" s="12"/>
      <c r="E13" s="12"/>
      <c r="F13" s="12"/>
      <c r="G13" s="12"/>
      <c r="H13" s="12"/>
    </row>
    <row r="14" spans="1:9" ht="15" customHeight="1" x14ac:dyDescent="0.3">
      <c r="A14" s="5" t="s">
        <v>83</v>
      </c>
      <c r="B14" s="14">
        <f>-Assumptions!B9</f>
        <v>-1100</v>
      </c>
      <c r="C14" s="14">
        <f>-Assumptions!C9</f>
        <v>-1180</v>
      </c>
      <c r="D14" s="14">
        <f>-Assumptions!D9</f>
        <v>-1300</v>
      </c>
      <c r="E14" s="14">
        <f>-Assumptions!E9</f>
        <v>-1400</v>
      </c>
      <c r="F14" s="14">
        <f>-Assumptions!F9</f>
        <v>-1500</v>
      </c>
      <c r="G14" s="14">
        <f>-Assumptions!G9</f>
        <v>-1600</v>
      </c>
      <c r="H14" s="14">
        <f>-Assumptions!H9</f>
        <v>-1700</v>
      </c>
    </row>
    <row r="15" spans="1:9" ht="15" customHeight="1" x14ac:dyDescent="0.3">
      <c r="A15" s="16" t="s">
        <v>84</v>
      </c>
      <c r="B15" s="15">
        <f t="shared" ref="B15:H15" si="1">B14</f>
        <v>-1100</v>
      </c>
      <c r="C15" s="15">
        <f t="shared" si="1"/>
        <v>-1180</v>
      </c>
      <c r="D15" s="15">
        <f t="shared" si="1"/>
        <v>-1300</v>
      </c>
      <c r="E15" s="15">
        <f t="shared" si="1"/>
        <v>-1400</v>
      </c>
      <c r="F15" s="15">
        <f t="shared" si="1"/>
        <v>-1500</v>
      </c>
      <c r="G15" s="15">
        <f t="shared" si="1"/>
        <v>-1600</v>
      </c>
      <c r="H15" s="15">
        <f t="shared" si="1"/>
        <v>-1700</v>
      </c>
    </row>
    <row r="17" spans="1:9" ht="15" customHeight="1" x14ac:dyDescent="0.3">
      <c r="A17" s="11" t="s">
        <v>85</v>
      </c>
      <c r="B17" s="12"/>
      <c r="C17" s="12"/>
      <c r="D17" s="12"/>
      <c r="E17" s="12"/>
      <c r="F17" s="12"/>
      <c r="G17" s="12"/>
      <c r="H17" s="12"/>
    </row>
    <row r="18" spans="1:9" ht="15" customHeight="1" x14ac:dyDescent="0.3">
      <c r="A18" s="5" t="s">
        <v>86</v>
      </c>
      <c r="B18" s="14">
        <f>Assumptions!B18</f>
        <v>0</v>
      </c>
      <c r="C18" s="14">
        <f>Assumptions!C18</f>
        <v>50</v>
      </c>
      <c r="D18" s="14">
        <f>Assumptions!D18</f>
        <v>0</v>
      </c>
      <c r="E18" s="14">
        <f>Assumptions!E18</f>
        <v>0</v>
      </c>
      <c r="F18" s="14">
        <f>Assumptions!F18</f>
        <v>0</v>
      </c>
      <c r="G18" s="14">
        <f>Assumptions!G18</f>
        <v>0</v>
      </c>
      <c r="H18" s="14">
        <f>Assumptions!H18</f>
        <v>0</v>
      </c>
    </row>
    <row r="19" spans="1:9" ht="15" customHeight="1" x14ac:dyDescent="0.3">
      <c r="A19" s="5" t="s">
        <v>87</v>
      </c>
      <c r="B19" s="14">
        <f>-('Income Statement'!B12*Assumptions!B24)</f>
        <v>-8709.1610049999981</v>
      </c>
      <c r="C19" s="14">
        <f>-('Income Statement'!C12*Assumptions!C24)</f>
        <v>-9544.351915216801</v>
      </c>
      <c r="D19" s="14">
        <f>-('Income Statement'!D12*Assumptions!D24)</f>
        <v>-10018.888407251858</v>
      </c>
      <c r="E19" s="14">
        <f>-('Income Statement'!E12*Assumptions!E24)</f>
        <v>-11192.041259086251</v>
      </c>
      <c r="F19" s="14">
        <f>-('Income Statement'!F12*Assumptions!F24)</f>
        <v>-12233.910622404013</v>
      </c>
      <c r="G19" s="14">
        <f>-('Income Statement'!G12*Assumptions!G24)</f>
        <v>-13307.646570308354</v>
      </c>
      <c r="H19" s="14">
        <f>-('Income Statement'!H12*Assumptions!H24)</f>
        <v>-14404.975815933025</v>
      </c>
    </row>
    <row r="20" spans="1:9" ht="15" customHeight="1" x14ac:dyDescent="0.3">
      <c r="A20" s="16" t="s">
        <v>88</v>
      </c>
      <c r="B20" s="15">
        <f t="shared" ref="B20:H20" si="2">SUM(B18:B19)</f>
        <v>-8709.1610049999981</v>
      </c>
      <c r="C20" s="15">
        <f t="shared" si="2"/>
        <v>-9494.351915216801</v>
      </c>
      <c r="D20" s="15">
        <f t="shared" si="2"/>
        <v>-10018.888407251858</v>
      </c>
      <c r="E20" s="15">
        <f t="shared" si="2"/>
        <v>-11192.041259086251</v>
      </c>
      <c r="F20" s="15">
        <f t="shared" si="2"/>
        <v>-12233.910622404013</v>
      </c>
      <c r="G20" s="15">
        <f t="shared" si="2"/>
        <v>-13307.646570308354</v>
      </c>
      <c r="H20" s="15">
        <f t="shared" si="2"/>
        <v>-14404.975815933025</v>
      </c>
    </row>
    <row r="22" spans="1:9" ht="15" customHeight="1" x14ac:dyDescent="0.3">
      <c r="A22" s="16" t="s">
        <v>89</v>
      </c>
      <c r="B22" s="18" t="s">
        <v>90</v>
      </c>
      <c r="C22" s="15">
        <f t="shared" ref="C22:H22" si="3">C11+C15+C20</f>
        <v>904.36164018199452</v>
      </c>
      <c r="D22" s="15">
        <f t="shared" si="3"/>
        <v>1142.47639664497</v>
      </c>
      <c r="E22" s="15">
        <f t="shared" si="3"/>
        <v>1623.3554314203902</v>
      </c>
      <c r="F22" s="15">
        <f t="shared" si="3"/>
        <v>1621.6293821770305</v>
      </c>
      <c r="G22" s="15">
        <f t="shared" si="3"/>
        <v>1588.8441147805552</v>
      </c>
      <c r="H22" s="15">
        <f t="shared" si="3"/>
        <v>1516.8850855313121</v>
      </c>
    </row>
    <row r="23" spans="1:9" ht="15" customHeight="1" x14ac:dyDescent="0.3">
      <c r="A23" s="5" t="s">
        <v>91</v>
      </c>
      <c r="B23" s="18" t="s">
        <v>90</v>
      </c>
      <c r="C23" s="14">
        <f>'Balance Sheet'!B6</f>
        <v>3500</v>
      </c>
      <c r="D23" s="15">
        <f>C24</f>
        <v>4404.3616401819945</v>
      </c>
      <c r="E23" s="15">
        <f>D24</f>
        <v>5546.8380368269645</v>
      </c>
      <c r="F23" s="15">
        <f>E24</f>
        <v>7170.1934682473548</v>
      </c>
      <c r="G23" s="15">
        <f>F24</f>
        <v>8791.8228504243853</v>
      </c>
      <c r="H23" s="15">
        <f>G24</f>
        <v>10380.66696520494</v>
      </c>
    </row>
    <row r="24" spans="1:9" ht="15" customHeight="1" x14ac:dyDescent="0.3">
      <c r="A24" s="16" t="s">
        <v>92</v>
      </c>
      <c r="B24" s="14">
        <f>'Balance Sheet'!B6</f>
        <v>3500</v>
      </c>
      <c r="C24" s="15">
        <f t="shared" ref="C24:H24" si="4">C23+C22</f>
        <v>4404.3616401819945</v>
      </c>
      <c r="D24" s="15">
        <f t="shared" si="4"/>
        <v>5546.8380368269645</v>
      </c>
      <c r="E24" s="15">
        <f t="shared" si="4"/>
        <v>7170.1934682473548</v>
      </c>
      <c r="F24" s="15">
        <f t="shared" si="4"/>
        <v>8791.8228504243853</v>
      </c>
      <c r="G24" s="15">
        <f t="shared" si="4"/>
        <v>10380.66696520494</v>
      </c>
      <c r="H24" s="15">
        <f t="shared" si="4"/>
        <v>11897.552050736253</v>
      </c>
    </row>
    <row r="26" spans="1:9" ht="15" customHeight="1" x14ac:dyDescent="0.3">
      <c r="A26" s="16" t="s">
        <v>93</v>
      </c>
      <c r="B26" s="15">
        <f>B24-'Balance Sheet'!B6</f>
        <v>0</v>
      </c>
      <c r="C26" s="15">
        <f>C24-'Balance Sheet'!C6</f>
        <v>0</v>
      </c>
      <c r="D26" s="15">
        <f>D24-'Balance Sheet'!D6</f>
        <v>0</v>
      </c>
      <c r="E26" s="15">
        <f>E24-'Balance Sheet'!E6</f>
        <v>0</v>
      </c>
      <c r="F26" s="15">
        <f>F24-'Balance Sheet'!F6</f>
        <v>0</v>
      </c>
      <c r="G26" s="15">
        <f>G24-'Balance Sheet'!G6</f>
        <v>0</v>
      </c>
      <c r="H26" s="15">
        <f>H24-'Balance Sheet'!H6</f>
        <v>0</v>
      </c>
      <c r="I26" s="9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zoomScaleNormal="100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D5" sqref="D5"/>
    </sheetView>
  </sheetViews>
  <sheetFormatPr defaultColWidth="8.6640625" defaultRowHeight="14.4" x14ac:dyDescent="0.3"/>
  <cols>
    <col min="1" max="1" width="34" customWidth="1"/>
    <col min="2" max="7" width="13" customWidth="1"/>
    <col min="8" max="8" width="40" customWidth="1"/>
  </cols>
  <sheetData>
    <row r="1" spans="1:8" ht="17.25" customHeight="1" x14ac:dyDescent="0.3">
      <c r="A1" s="2" t="s">
        <v>95</v>
      </c>
    </row>
    <row r="2" spans="1:8" ht="15" customHeight="1" x14ac:dyDescent="0.3">
      <c r="A2" s="3" t="s">
        <v>96</v>
      </c>
    </row>
    <row r="4" spans="1:8" ht="15" customHeight="1" x14ac:dyDescent="0.3">
      <c r="A4" s="11" t="s">
        <v>97</v>
      </c>
      <c r="B4" s="12"/>
      <c r="C4" s="12"/>
      <c r="D4" s="12"/>
      <c r="E4" s="12"/>
      <c r="F4" s="12"/>
      <c r="G4" s="12"/>
      <c r="H4" s="12"/>
    </row>
    <row r="5" spans="1:8" ht="15" customHeight="1" x14ac:dyDescent="0.3">
      <c r="A5" s="5" t="s">
        <v>98</v>
      </c>
      <c r="B5" s="8">
        <v>0.105</v>
      </c>
      <c r="C5" s="9" t="s">
        <v>99</v>
      </c>
    </row>
    <row r="6" spans="1:8" ht="15" customHeight="1" x14ac:dyDescent="0.3">
      <c r="A6" s="5" t="s">
        <v>100</v>
      </c>
      <c r="B6" s="8">
        <v>0.05</v>
      </c>
      <c r="C6" s="9" t="s">
        <v>101</v>
      </c>
    </row>
    <row r="7" spans="1:8" ht="15" customHeight="1" x14ac:dyDescent="0.3">
      <c r="A7" s="5" t="s">
        <v>102</v>
      </c>
      <c r="B7" s="13">
        <v>5</v>
      </c>
    </row>
    <row r="8" spans="1:8" ht="15" customHeight="1" x14ac:dyDescent="0.3">
      <c r="A8" s="5" t="s">
        <v>103</v>
      </c>
      <c r="B8" s="10">
        <v>235</v>
      </c>
    </row>
    <row r="9" spans="1:8" ht="15" customHeight="1" x14ac:dyDescent="0.3">
      <c r="A9" s="5" t="s">
        <v>104</v>
      </c>
      <c r="B9" s="19">
        <v>2450</v>
      </c>
      <c r="C9" s="9" t="s">
        <v>105</v>
      </c>
    </row>
    <row r="10" spans="1:8" ht="15" customHeight="1" x14ac:dyDescent="0.3">
      <c r="A10" s="16" t="s">
        <v>106</v>
      </c>
      <c r="B10" s="14">
        <f>'Balance Sheet'!C14-'Balance Sheet'!C6</f>
        <v>-2154.3616401819945</v>
      </c>
      <c r="C10" s="9" t="s">
        <v>107</v>
      </c>
    </row>
    <row r="12" spans="1:8" ht="15" customHeight="1" x14ac:dyDescent="0.3">
      <c r="A12" s="11" t="s">
        <v>108</v>
      </c>
      <c r="B12" s="12"/>
      <c r="C12" s="12"/>
      <c r="D12" s="12"/>
      <c r="E12" s="12"/>
      <c r="F12" s="12"/>
      <c r="G12" s="12"/>
      <c r="H12" s="12"/>
    </row>
    <row r="13" spans="1:8" ht="15" customHeight="1" x14ac:dyDescent="0.3">
      <c r="A13" s="6" t="s">
        <v>109</v>
      </c>
      <c r="B13" s="7" t="s">
        <v>14</v>
      </c>
      <c r="C13" s="7" t="s">
        <v>15</v>
      </c>
      <c r="D13" s="7" t="s">
        <v>16</v>
      </c>
      <c r="E13" s="7" t="s">
        <v>17</v>
      </c>
      <c r="F13" s="7" t="s">
        <v>18</v>
      </c>
      <c r="G13" s="6" t="s">
        <v>110</v>
      </c>
    </row>
    <row r="14" spans="1:8" ht="15" customHeight="1" x14ac:dyDescent="0.3">
      <c r="A14" s="5" t="s">
        <v>48</v>
      </c>
      <c r="B14" s="14">
        <f>'Income Statement'!D5</f>
        <v>65550.95618400001</v>
      </c>
      <c r="C14" s="14">
        <f>'Income Statement'!E5</f>
        <v>71450.542240560011</v>
      </c>
      <c r="D14" s="14">
        <f>'Income Statement'!F5</f>
        <v>77881.091042210421</v>
      </c>
      <c r="E14" s="14">
        <f>'Income Statement'!G5</f>
        <v>84500.983780798299</v>
      </c>
      <c r="F14" s="14">
        <f>'Income Statement'!H5</f>
        <v>91261.062483262169</v>
      </c>
    </row>
    <row r="15" spans="1:8" ht="15" customHeight="1" x14ac:dyDescent="0.3">
      <c r="A15" s="5" t="s">
        <v>50</v>
      </c>
      <c r="B15" s="14">
        <f>'Income Statement'!D6</f>
        <v>16059.984265080002</v>
      </c>
      <c r="C15" s="14">
        <f>'Income Statement'!E6</f>
        <v>17862.635560140003</v>
      </c>
      <c r="D15" s="14">
        <f>'Income Statement'!F6</f>
        <v>19470.272760552605</v>
      </c>
      <c r="E15" s="14">
        <f>'Income Statement'!G6</f>
        <v>21125.245945199575</v>
      </c>
      <c r="F15" s="14">
        <f>'Income Statement'!H6</f>
        <v>22815.265620815542</v>
      </c>
    </row>
    <row r="16" spans="1:8" ht="15" customHeight="1" x14ac:dyDescent="0.3">
      <c r="A16" s="5" t="s">
        <v>51</v>
      </c>
      <c r="B16" s="14">
        <f>'Income Statement'!D7</f>
        <v>1080</v>
      </c>
      <c r="C16" s="14">
        <f>'Income Statement'!E7</f>
        <v>1140</v>
      </c>
      <c r="D16" s="14">
        <f>'Income Statement'!F7</f>
        <v>1200</v>
      </c>
      <c r="E16" s="14">
        <f>'Income Statement'!G7</f>
        <v>1260</v>
      </c>
      <c r="F16" s="14">
        <f>'Income Statement'!H7</f>
        <v>1320</v>
      </c>
    </row>
    <row r="17" spans="1:7" ht="15" customHeight="1" x14ac:dyDescent="0.3">
      <c r="A17" s="16" t="s">
        <v>52</v>
      </c>
      <c r="B17" s="15">
        <f>B15-B16</f>
        <v>14979.984265080002</v>
      </c>
      <c r="C17" s="15">
        <f>C15-C16</f>
        <v>16722.635560140003</v>
      </c>
      <c r="D17" s="15">
        <f>D15-D16</f>
        <v>18270.272760552605</v>
      </c>
      <c r="E17" s="15">
        <f>E15-E16</f>
        <v>19865.245945199575</v>
      </c>
      <c r="F17" s="15">
        <f>F15-F16</f>
        <v>21495.265620815542</v>
      </c>
    </row>
    <row r="18" spans="1:7" ht="15" customHeight="1" x14ac:dyDescent="0.3">
      <c r="A18" s="5" t="s">
        <v>111</v>
      </c>
      <c r="B18" s="14">
        <f>B17*Assumptions!D7</f>
        <v>3774.9560348001605</v>
      </c>
      <c r="C18" s="14">
        <f>C17*Assumptions!E7</f>
        <v>4214.104161155281</v>
      </c>
      <c r="D18" s="14">
        <f>D17*Assumptions!F7</f>
        <v>4604.1087356592561</v>
      </c>
      <c r="E18" s="14">
        <f>E17*Assumptions!G7</f>
        <v>5006.0419781902929</v>
      </c>
      <c r="F18" s="14">
        <f>F17*Assumptions!H7</f>
        <v>5416.8069364455168</v>
      </c>
    </row>
    <row r="19" spans="1:7" ht="15" customHeight="1" x14ac:dyDescent="0.3">
      <c r="A19" s="5" t="s">
        <v>112</v>
      </c>
      <c r="B19" s="15">
        <f>B17-B18</f>
        <v>11205.02823027984</v>
      </c>
      <c r="C19" s="15">
        <f>C17-C18</f>
        <v>12508.531398984722</v>
      </c>
      <c r="D19" s="15">
        <f>D17-D18</f>
        <v>13666.164024893349</v>
      </c>
      <c r="E19" s="15">
        <f>E17-E18</f>
        <v>14859.203967009282</v>
      </c>
      <c r="F19" s="15">
        <f>F17-F18</f>
        <v>16078.458684370025</v>
      </c>
    </row>
    <row r="20" spans="1:7" ht="15" customHeight="1" x14ac:dyDescent="0.3">
      <c r="A20" s="5" t="s">
        <v>113</v>
      </c>
      <c r="B20" s="15">
        <f>B16</f>
        <v>1080</v>
      </c>
      <c r="C20" s="15">
        <f>C16</f>
        <v>1140</v>
      </c>
      <c r="D20" s="15">
        <f>D16</f>
        <v>1200</v>
      </c>
      <c r="E20" s="15">
        <f>E16</f>
        <v>1260</v>
      </c>
      <c r="F20" s="15">
        <f>F16</f>
        <v>1320</v>
      </c>
    </row>
    <row r="21" spans="1:7" ht="15" customHeight="1" x14ac:dyDescent="0.3">
      <c r="A21" s="5" t="s">
        <v>114</v>
      </c>
      <c r="B21" s="14">
        <f>-Assumptions!D9</f>
        <v>-1300</v>
      </c>
      <c r="C21" s="14">
        <f>-Assumptions!E9</f>
        <v>-1400</v>
      </c>
      <c r="D21" s="14">
        <f>-Assumptions!F9</f>
        <v>-1500</v>
      </c>
      <c r="E21" s="14">
        <f>-Assumptions!G9</f>
        <v>-1600</v>
      </c>
      <c r="F21" s="14">
        <f>-Assumptions!H9</f>
        <v>-1700</v>
      </c>
    </row>
    <row r="22" spans="1:7" ht="15" customHeight="1" x14ac:dyDescent="0.3">
      <c r="A22" s="5" t="s">
        <v>115</v>
      </c>
      <c r="B22" s="14">
        <f>-((('Balance Sheet'!D7+'Balance Sheet'!D8-'Balance Sheet'!D13)-('Balance Sheet'!C7+'Balance Sheet'!C8-'Balance Sheet'!C13)))</f>
        <v>249.26657361698562</v>
      </c>
      <c r="C22" s="14">
        <f>-((('Balance Sheet'!E7+'Balance Sheet'!E8-'Balance Sheet'!E13)-('Balance Sheet'!D7+'Balance Sheet'!D8-'Balance Sheet'!D13)))</f>
        <v>639.79529152192117</v>
      </c>
      <c r="D22" s="14">
        <f>-((('Balance Sheet'!F7+'Balance Sheet'!F8-'Balance Sheet'!F13)-('Balance Sheet'!E7+'Balance Sheet'!E8-'Balance Sheet'!E13)))</f>
        <v>562.30597968769507</v>
      </c>
      <c r="E22" s="14">
        <f>-((('Balance Sheet'!G7+'Balance Sheet'!G8-'Balance Sheet'!G13)-('Balance Sheet'!F7+'Balance Sheet'!F8-'Balance Sheet'!F13)))</f>
        <v>450.21671807962593</v>
      </c>
      <c r="F22" s="14">
        <f>-((('Balance Sheet'!H7+'Balance Sheet'!H8-'Balance Sheet'!H13)-('Balance Sheet'!G7+'Balance Sheet'!G8-'Balance Sheet'!G13)))</f>
        <v>296.33221709430654</v>
      </c>
      <c r="G22" s="9" t="s">
        <v>116</v>
      </c>
    </row>
    <row r="23" spans="1:7" ht="15" customHeight="1" x14ac:dyDescent="0.3">
      <c r="A23" s="16" t="s">
        <v>117</v>
      </c>
      <c r="B23" s="20">
        <f>B19+B20+B21+B22</f>
        <v>11234.294803896826</v>
      </c>
      <c r="C23" s="20">
        <f>C19+C20+C21+C22</f>
        <v>12888.326690506643</v>
      </c>
      <c r="D23" s="20">
        <f>D19+D20+D21+D22</f>
        <v>13928.470004581044</v>
      </c>
      <c r="E23" s="20">
        <f>E19+E20+E21+E22</f>
        <v>14969.420685088908</v>
      </c>
      <c r="F23" s="20">
        <f>F19+F20+F21+F22</f>
        <v>15994.79090146433</v>
      </c>
      <c r="G23" s="9" t="s">
        <v>118</v>
      </c>
    </row>
    <row r="25" spans="1:7" ht="15" customHeight="1" x14ac:dyDescent="0.3">
      <c r="A25" s="5" t="s">
        <v>119</v>
      </c>
      <c r="B25" s="21">
        <v>1</v>
      </c>
      <c r="C25" s="21">
        <v>2</v>
      </c>
      <c r="D25" s="21">
        <v>3</v>
      </c>
      <c r="E25" s="21">
        <v>4</v>
      </c>
      <c r="F25" s="21">
        <v>5</v>
      </c>
    </row>
    <row r="26" spans="1:7" ht="15" customHeight="1" x14ac:dyDescent="0.3">
      <c r="A26" s="5" t="s">
        <v>120</v>
      </c>
      <c r="B26" s="22">
        <f>1/(1+$B$5)^B25</f>
        <v>0.90497737556561086</v>
      </c>
      <c r="C26" s="22">
        <f>1/(1+$B$5)^C25</f>
        <v>0.81898405028562071</v>
      </c>
      <c r="D26" s="22">
        <f>1/(1+$B$5)^D25</f>
        <v>0.74116203645757528</v>
      </c>
      <c r="E26" s="22">
        <f>1/(1+$B$5)^E25</f>
        <v>0.67073487462224002</v>
      </c>
      <c r="F26" s="22">
        <f>1/(1+$B$5)^F25</f>
        <v>0.60699988653596382</v>
      </c>
    </row>
    <row r="27" spans="1:7" ht="15" customHeight="1" x14ac:dyDescent="0.3">
      <c r="A27" s="16" t="s">
        <v>121</v>
      </c>
      <c r="B27" s="15">
        <f>B23*B26</f>
        <v>10166.782627960929</v>
      </c>
      <c r="C27" s="15">
        <f>C23*C26</f>
        <v>10555.3339943954</v>
      </c>
      <c r="D27" s="15">
        <f>D23*D26</f>
        <v>10323.253193333539</v>
      </c>
      <c r="E27" s="15">
        <f>E23*E26</f>
        <v>10040.512506380675</v>
      </c>
      <c r="F27" s="15">
        <f>F23*F26</f>
        <v>9708.8362623553148</v>
      </c>
    </row>
    <row r="29" spans="1:7" ht="15" customHeight="1" x14ac:dyDescent="0.3">
      <c r="A29" s="11" t="s">
        <v>122</v>
      </c>
      <c r="B29" s="12"/>
      <c r="C29" s="12"/>
      <c r="D29" s="12"/>
      <c r="E29" s="12"/>
      <c r="F29" s="12"/>
      <c r="G29" s="12"/>
    </row>
    <row r="30" spans="1:7" ht="15" customHeight="1" x14ac:dyDescent="0.3">
      <c r="A30" s="5" t="s">
        <v>123</v>
      </c>
      <c r="B30" s="15">
        <f>F23*(1+B6)/(B5-B6)</f>
        <v>305355.09902795544</v>
      </c>
      <c r="C30" s="9" t="s">
        <v>124</v>
      </c>
    </row>
    <row r="31" spans="1:7" ht="15" customHeight="1" x14ac:dyDescent="0.3">
      <c r="A31" s="5" t="s">
        <v>125</v>
      </c>
      <c r="B31" s="15">
        <f>B30*F26</f>
        <v>185350.51046314696</v>
      </c>
    </row>
    <row r="33" spans="1:2" ht="15" customHeight="1" x14ac:dyDescent="0.3">
      <c r="A33" s="5" t="s">
        <v>126</v>
      </c>
      <c r="B33" s="15">
        <f>SUM(B27:F27)</f>
        <v>50794.718584425864</v>
      </c>
    </row>
    <row r="34" spans="1:2" ht="15" customHeight="1" x14ac:dyDescent="0.3">
      <c r="A34" s="5" t="s">
        <v>127</v>
      </c>
      <c r="B34" s="15">
        <f>B31</f>
        <v>185350.51046314696</v>
      </c>
    </row>
    <row r="35" spans="1:2" ht="15" customHeight="1" x14ac:dyDescent="0.3">
      <c r="A35" s="16" t="s">
        <v>128</v>
      </c>
      <c r="B35" s="20">
        <f>B33+B31</f>
        <v>236145.22904757282</v>
      </c>
    </row>
    <row r="36" spans="1:2" ht="15" customHeight="1" x14ac:dyDescent="0.3">
      <c r="A36" s="5" t="s">
        <v>129</v>
      </c>
      <c r="B36" s="15">
        <f>-B10</f>
        <v>2154.3616401819945</v>
      </c>
    </row>
    <row r="37" spans="1:2" ht="15" customHeight="1" x14ac:dyDescent="0.3">
      <c r="A37" s="16" t="s">
        <v>130</v>
      </c>
      <c r="B37" s="20">
        <f>B35-B10</f>
        <v>238299.59068775483</v>
      </c>
    </row>
    <row r="38" spans="1:2" ht="15" customHeight="1" x14ac:dyDescent="0.3">
      <c r="A38" s="5" t="s">
        <v>103</v>
      </c>
      <c r="B38" s="15">
        <f>B8</f>
        <v>235</v>
      </c>
    </row>
    <row r="40" spans="1:2" ht="15" customHeight="1" x14ac:dyDescent="0.3">
      <c r="A40" s="16" t="s">
        <v>131</v>
      </c>
      <c r="B40" s="23">
        <f>B37/B8</f>
        <v>1014.0408114372545</v>
      </c>
    </row>
    <row r="41" spans="1:2" ht="15" customHeight="1" x14ac:dyDescent="0.3">
      <c r="A41" s="5" t="s">
        <v>104</v>
      </c>
      <c r="B41" s="24">
        <f>B9</f>
        <v>2450</v>
      </c>
    </row>
    <row r="42" spans="1:2" ht="15" customHeight="1" x14ac:dyDescent="0.3">
      <c r="A42" s="16" t="s">
        <v>132</v>
      </c>
      <c r="B42" s="25">
        <f>B40/B9-1</f>
        <v>-0.58610579125010021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tabSelected="1" zoomScaleNormal="100" workbookViewId="0"/>
  </sheetViews>
  <sheetFormatPr defaultColWidth="8.6640625" defaultRowHeight="14.4" x14ac:dyDescent="0.3"/>
  <cols>
    <col min="1" max="1" width="28" customWidth="1"/>
    <col min="2" max="7" width="13" customWidth="1"/>
  </cols>
  <sheetData>
    <row r="1" spans="1:7" ht="17.25" customHeight="1" x14ac:dyDescent="0.3">
      <c r="A1" s="2" t="s">
        <v>133</v>
      </c>
    </row>
    <row r="2" spans="1:7" ht="15" customHeight="1" x14ac:dyDescent="0.3">
      <c r="A2" s="3" t="s">
        <v>134</v>
      </c>
    </row>
    <row r="4" spans="1:7" ht="15" customHeight="1" x14ac:dyDescent="0.3">
      <c r="B4" s="16" t="s">
        <v>135</v>
      </c>
      <c r="C4" s="26">
        <v>8.5000000000000006E-2</v>
      </c>
      <c r="D4" s="26">
        <v>9.5000000000000001E-2</v>
      </c>
      <c r="E4" s="26">
        <v>0.105</v>
      </c>
      <c r="F4" s="26">
        <v>0.115</v>
      </c>
      <c r="G4" s="26">
        <v>0.125</v>
      </c>
    </row>
    <row r="5" spans="1:7" ht="15" customHeight="1" x14ac:dyDescent="0.3">
      <c r="A5" s="16" t="s">
        <v>136</v>
      </c>
      <c r="B5" s="27">
        <v>0.03</v>
      </c>
      <c r="C5" s="28">
        <f>(SUMPRODUCT('Discounted Cash Flow'!$B$23:$F$23,1/(1+C$4)^{1,2,3,4,5})+(INDEX('Discounted Cash Flow'!$B$23:$F$23,1,5)*(1+$B5)/(C$4-$B5))/(1+C$4)^5-'Discounted Cash Flow'!$B$10)/'Discounted Cash Flow'!$B$8</f>
        <v>1085.1363691463018</v>
      </c>
      <c r="D5" s="28">
        <f>(SUMPRODUCT('Discounted Cash Flow'!$B$23:$F$23,1/(1+D$4)^{1,2,3,4,5})+(INDEX('Discounted Cash Flow'!$B$23:$F$23,1,5)*(1+$B5)/(D$4-$B5))/(1+D$4)^5-'Discounted Cash Flow'!$B$10)/'Discounted Cash Flow'!$B$8</f>
        <v>916.36833517197806</v>
      </c>
      <c r="E5" s="28">
        <f>(SUMPRODUCT('Discounted Cash Flow'!$B$23:$F$23,1/(1+E$4)^{1,2,3,4,5})+(INDEX('Discounted Cash Flow'!$B$23:$F$23,1,5)*(1+$B5)/(E$4-$B5))/(1+E$4)^5-'Discounted Cash Flow'!$B$10)/'Discounted Cash Flow'!$B$8</f>
        <v>792.69687189058527</v>
      </c>
      <c r="F5" s="28">
        <f>(SUMPRODUCT('Discounted Cash Flow'!$B$23:$F$23,1/(1+F$4)^{1,2,3,4,5})+(INDEX('Discounted Cash Flow'!$B$23:$F$23,1,5)*(1+$B5)/(F$4-$B5))/(1+F$4)^5-'Discounted Cash Flow'!$B$10)/'Discounted Cash Flow'!$B$8</f>
        <v>698.20195009859685</v>
      </c>
      <c r="G5" s="28">
        <f>(SUMPRODUCT('Discounted Cash Flow'!$B$23:$F$23,1/(1+G$4)^{1,2,3,4,5})+(INDEX('Discounted Cash Flow'!$B$23:$F$23,1,5)*(1+$B5)/(G$4-$B5))/(1+G$4)^5-'Discounted Cash Flow'!$B$10)/'Discounted Cash Flow'!$B$8</f>
        <v>623.66688632150419</v>
      </c>
    </row>
    <row r="6" spans="1:7" ht="15" customHeight="1" x14ac:dyDescent="0.3">
      <c r="B6" s="27">
        <v>0.04</v>
      </c>
      <c r="C6" s="28">
        <f>(SUMPRODUCT('Discounted Cash Flow'!$B$23:$F$23,1/(1+C$4)^{1,2,3,4,5})+(INDEX('Discounted Cash Flow'!$B$23:$F$23,1,5)*(1+$B6)/(C$4-$B6))/(1+C$4)^5-'Discounted Cash Flow'!$B$10)/'Discounted Cash Flow'!$B$8</f>
        <v>1283.5705801368829</v>
      </c>
      <c r="D6" s="28">
        <f>(SUMPRODUCT('Discounted Cash Flow'!$B$23:$F$23,1/(1+D$4)^{1,2,3,4,5})+(INDEX('Discounted Cash Flow'!$B$23:$F$23,1,5)*(1+$B6)/(D$4-$B6))/(1+D$4)^5-'Discounted Cash Flow'!$B$10)/'Discounted Cash Flow'!$B$8</f>
        <v>1048.7958356118479</v>
      </c>
      <c r="E6" s="28">
        <f>(SUMPRODUCT('Discounted Cash Flow'!$B$23:$F$23,1/(1+E$4)^{1,2,3,4,5})+(INDEX('Discounted Cash Flow'!$B$23:$F$23,1,5)*(1+$B6)/(E$4-$B6))/(1+E$4)^5-'Discounted Cash Flow'!$B$10)/'Discounted Cash Flow'!$B$8</f>
        <v>886.34238477571444</v>
      </c>
      <c r="F6" s="28">
        <f>(SUMPRODUCT('Discounted Cash Flow'!$B$23:$F$23,1/(1+F$4)^{1,2,3,4,5})+(INDEX('Discounted Cash Flow'!$B$23:$F$23,1,5)*(1+$B6)/(F$4-$B6))/(1+F$4)^5-'Discounted Cash Flow'!$B$10)/'Discounted Cash Flow'!$B$8</f>
        <v>767.27856487697966</v>
      </c>
      <c r="G6" s="28">
        <f>(SUMPRODUCT('Discounted Cash Flow'!$B$23:$F$23,1/(1+G$4)^{1,2,3,4,5})+(INDEX('Discounted Cash Flow'!$B$23:$F$23,1,5)*(1+$B6)/(G$4-$B6))/(1+G$4)^5-'Discounted Cash Flow'!$B$10)/'Discounted Cash Flow'!$B$8</f>
        <v>676.28776355988543</v>
      </c>
    </row>
    <row r="7" spans="1:7" ht="15" customHeight="1" x14ac:dyDescent="0.3">
      <c r="B7" s="27">
        <v>0.05</v>
      </c>
      <c r="C7" s="28">
        <f>(SUMPRODUCT('Discounted Cash Flow'!$B$23:$F$23,1/(1+C$4)^{1,2,3,4,5})+(INDEX('Discounted Cash Flow'!$B$23:$F$23,1,5)*(1+$B7)/(C$4-$B7))/(1+C$4)^5-'Discounted Cash Flow'!$B$10)/'Discounted Cash Flow'!$B$8</f>
        <v>1595.3957688363685</v>
      </c>
      <c r="D7" s="28">
        <f>(SUMPRODUCT('Discounted Cash Flow'!$B$23:$F$23,1/(1+D$4)^{1,2,3,4,5})+(INDEX('Discounted Cash Flow'!$B$23:$F$23,1,5)*(1+$B7)/(D$4-$B7))/(1+D$4)^5-'Discounted Cash Flow'!$B$10)/'Discounted Cash Flow'!$B$8</f>
        <v>1240.0800029138825</v>
      </c>
      <c r="E7" s="29">
        <f>(SUMPRODUCT('Discounted Cash Flow'!$B$23:$F$23,1/(1+E$4)^{1,2,3,4,5})+(INDEX('Discounted Cash Flow'!$B$23:$F$23,1,5)*(1+$B7)/(E$4-$B7))/(1+E$4)^5-'Discounted Cash Flow'!$B$10)/'Discounted Cash Flow'!$B$8</f>
        <v>1014.0408114372545</v>
      </c>
      <c r="F7" s="28">
        <f>(SUMPRODUCT('Discounted Cash Flow'!$B$23:$F$23,1/(1+F$4)^{1,2,3,4,5})+(INDEX('Discounted Cash Flow'!$B$23:$F$23,1,5)*(1+$B7)/(F$4-$B7))/(1+F$4)^5-'Discounted Cash Flow'!$B$10)/'Discounted Cash Flow'!$B$8</f>
        <v>857.60952266409606</v>
      </c>
      <c r="G7" s="28">
        <f>(SUMPRODUCT('Discounted Cash Flow'!$B$23:$F$23,1/(1+G$4)^{1,2,3,4,5})+(INDEX('Discounted Cash Flow'!$B$23:$F$23,1,5)*(1+$B7)/(G$4-$B7))/(1+G$4)^5-'Discounted Cash Flow'!$B$10)/'Discounted Cash Flow'!$B$8</f>
        <v>742.94087472850163</v>
      </c>
    </row>
    <row r="8" spans="1:7" ht="15" customHeight="1" x14ac:dyDescent="0.3">
      <c r="B8" s="27">
        <v>0.06</v>
      </c>
      <c r="C8" s="28">
        <f>(SUMPRODUCT('Discounted Cash Flow'!$B$23:$F$23,1/(1+C$4)^{1,2,3,4,5})+(INDEX('Discounted Cash Flow'!$B$23:$F$23,1,5)*(1+$B8)/(C$4-$B8))/(1+C$4)^5-'Discounted Cash Flow'!$B$10)/'Discounted Cash Flow'!$B$8</f>
        <v>2156.6811084954411</v>
      </c>
      <c r="D8" s="28">
        <f>(SUMPRODUCT('Discounted Cash Flow'!$B$23:$F$23,1/(1+D$4)^{1,2,3,4,5})+(INDEX('Discounted Cash Flow'!$B$23:$F$23,1,5)*(1+$B8)/(D$4-$B8))/(1+D$4)^5-'Discounted Cash Flow'!$B$10)/'Discounted Cash Flow'!$B$8</f>
        <v>1540.6694086742218</v>
      </c>
      <c r="E8" s="28">
        <f>(SUMPRODUCT('Discounted Cash Flow'!$B$23:$F$23,1/(1+E$4)^{1,2,3,4,5})+(INDEX('Discounted Cash Flow'!$B$23:$F$23,1,5)*(1+$B8)/(E$4-$B8))/(1+E$4)^5-'Discounted Cash Flow'!$B$10)/'Discounted Cash Flow'!$B$8</f>
        <v>1198.494094392812</v>
      </c>
      <c r="F8" s="28">
        <f>(SUMPRODUCT('Discounted Cash Flow'!$B$23:$F$23,1/(1+F$4)^{1,2,3,4,5})+(INDEX('Discounted Cash Flow'!$B$23:$F$23,1,5)*(1+$B8)/(F$4-$B8))/(1+F$4)^5-'Discounted Cash Flow'!$B$10)/'Discounted Cash Flow'!$B$8</f>
        <v>980.78810146470892</v>
      </c>
      <c r="G8" s="28">
        <f>(SUMPRODUCT('Discounted Cash Flow'!$B$23:$F$23,1/(1+G$4)^{1,2,3,4,5})+(INDEX('Discounted Cash Flow'!$B$23:$F$23,1,5)*(1+$B8)/(G$4-$B8))/(1+G$4)^5-'Discounted Cash Flow'!$B$10)/'Discounted Cash Flow'!$B$8</f>
        <v>830.10263548746116</v>
      </c>
    </row>
    <row r="9" spans="1:7" ht="15" customHeight="1" x14ac:dyDescent="0.3">
      <c r="B9" s="27">
        <v>7.0000000000000007E-2</v>
      </c>
      <c r="C9" s="28">
        <f>(SUMPRODUCT('Discounted Cash Flow'!$B$23:$F$23,1/(1+C$4)^{1,2,3,4,5})+(INDEX('Discounted Cash Flow'!$B$23:$F$23,1,5)*(1+$B9)/(C$4-$B9))/(1+C$4)^5-'Discounted Cash Flow'!$B$10)/'Discounted Cash Flow'!$B$8</f>
        <v>3466.3469010332801</v>
      </c>
      <c r="D9" s="28">
        <f>(SUMPRODUCT('Discounted Cash Flow'!$B$23:$F$23,1/(1+D$4)^{1,2,3,4,5})+(INDEX('Discounted Cash Flow'!$B$23:$F$23,1,5)*(1+$B9)/(D$4-$B9))/(1+D$4)^5-'Discounted Cash Flow'!$B$10)/'Discounted Cash Flow'!$B$8</f>
        <v>2081.7303390428337</v>
      </c>
      <c r="E9" s="28">
        <f>(SUMPRODUCT('Discounted Cash Flow'!$B$23:$F$23,1/(1+E$4)^{1,2,3,4,5})+(INDEX('Discounted Cash Flow'!$B$23:$F$23,1,5)*(1+$B9)/(E$4-$B9))/(1+E$4)^5-'Discounted Cash Flow'!$B$10)/'Discounted Cash Flow'!$B$8</f>
        <v>1488.3492533229744</v>
      </c>
      <c r="F9" s="28">
        <f>(SUMPRODUCT('Discounted Cash Flow'!$B$23:$F$23,1/(1+F$4)^{1,2,3,4,5})+(INDEX('Discounted Cash Flow'!$B$23:$F$23,1,5)*(1+$B9)/(F$4-$B9))/(1+F$4)^5-'Discounted Cash Flow'!$B$10)/'Discounted Cash Flow'!$B$8</f>
        <v>1158.7127152878168</v>
      </c>
      <c r="G9" s="28">
        <f>(SUMPRODUCT('Discounted Cash Flow'!$B$23:$F$23,1/(1+G$4)^{1,2,3,4,5})+(INDEX('Discounted Cash Flow'!$B$23:$F$23,1,5)*(1+$B9)/(G$4-$B9))/(1+G$4)^5-'Discounted Cash Flow'!$B$10)/'Discounted Cash Flow'!$B$8</f>
        <v>948.95958197695177</v>
      </c>
    </row>
    <row r="12" spans="1:7" ht="30" customHeight="1" x14ac:dyDescent="0.3">
      <c r="A12" s="1" t="s">
        <v>137</v>
      </c>
      <c r="B12" s="1"/>
      <c r="C12" s="1"/>
      <c r="D12" s="1"/>
      <c r="E12" s="1"/>
      <c r="F12" s="1"/>
      <c r="G12" s="1"/>
    </row>
    <row r="13" spans="1:7" ht="15" customHeight="1" x14ac:dyDescent="0.3">
      <c r="A13" s="1"/>
      <c r="B13" s="1"/>
      <c r="C13" s="1"/>
      <c r="D13" s="1"/>
      <c r="E13" s="1"/>
      <c r="F13" s="1"/>
      <c r="G13" s="1"/>
    </row>
  </sheetData>
  <mergeCells count="1">
    <mergeCell ref="A12:G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Income Statement</vt:lpstr>
      <vt:lpstr>Balance Sheet</vt:lpstr>
      <vt:lpstr>Cash Flow</vt:lpstr>
      <vt:lpstr>Discounted Cash Flow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Pavan Satwik</cp:lastModifiedBy>
  <cp:revision>0</cp:revision>
  <dcterms:created xsi:type="dcterms:W3CDTF">2026-06-20T06:34:02Z</dcterms:created>
  <dcterms:modified xsi:type="dcterms:W3CDTF">2026-06-20T09:25:08Z</dcterms:modified>
  <dc:language>en-US</dc:language>
</cp:coreProperties>
</file>